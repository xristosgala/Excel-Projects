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 the Great\Downloads\"/>
    </mc:Choice>
  </mc:AlternateContent>
  <xr:revisionPtr revIDLastSave="0" documentId="13_ncr:1_{A232E2D4-FBB3-4683-B6A2-6CA11AC5C5E0}" xr6:coauthVersionLast="47" xr6:coauthVersionMax="47" xr10:uidLastSave="{00000000-0000-0000-0000-000000000000}"/>
  <bookViews>
    <workbookView xWindow="-108" yWindow="-108" windowWidth="23256" windowHeight="12576" activeTab="1" xr2:uid="{605C0C52-CDFE-4143-8873-467C8A27C139}"/>
  </bookViews>
  <sheets>
    <sheet name="Settings" sheetId="2" r:id="rId1"/>
    <sheet name="Gantt" sheetId="1" r:id="rId2"/>
  </sheets>
  <definedNames>
    <definedName name="base_end" localSheetId="1">Gantt!$V1</definedName>
    <definedName name="base_start" localSheetId="1">Gantt!$U1</definedName>
    <definedName name="color_by">Gantt!$X$6</definedName>
    <definedName name="color_code" localSheetId="1">_xlfn.SWITCH(color_by,"Project Structure",Gantt!color_code_project_structure,"Team Roles",Gantt!color_code_team_roles,"Issues",Gantt!color_code_issues,Gantt!color_code_default)</definedName>
    <definedName name="color_code_default" localSheetId="1">IF(Gantt!type&lt;&gt;"",_xlfn.SWITCH(Gantt!type,"S",1,"T",2,"M",3),-1)</definedName>
    <definedName name="color_code_issues" localSheetId="1">IF(Gantt!issue="⚠", _xlfn.SWITCH(Gantt!type, "S", 901, "T", 901, "M", 902), Gantt!color_code_default)</definedName>
    <definedName name="color_code_project_structure" localSheetId="1">IF(Gantt!stage_id=-1,-1,_xlfn.NUMBERVALUE(IF(MOD(Gantt!stage_id,8)=0,8,MOD(Gantt!stage_id,8)) &amp; _xlfn.SWITCH(Gantt!type, "S", "01", "T", "02", "M", "03")))</definedName>
    <definedName name="color_code_team_roles" localSheetId="1">IF(Gantt!role_id=-1, Gantt!color_code_default, _xlfn.NUMBERVALUE(Gantt!role_id &amp; _xlfn.SWITCH(Gantt!type, "T", "01", "M", "04")))</definedName>
    <definedName name="d.conn" localSheetId="1">Gantt!$P1</definedName>
    <definedName name="d.id" localSheetId="1">Gantt!$M1</definedName>
    <definedName name="d.lag" localSheetId="1">Gantt!$Q1</definedName>
    <definedName name="d.name" localSheetId="1">INDEX(Gantt!$F:$F,Gantt!d.row,)</definedName>
    <definedName name="d.row" localSheetId="1">MATCH(Gantt!d.id,Gantt!$B:$B,0)</definedName>
    <definedName name="d.type" localSheetId="1">INDEX(Gantt!$E:$E,Gantt!d.row,)</definedName>
    <definedName name="date" localSheetId="1">Gantt!A$10</definedName>
    <definedName name="display">Gantt!$AG$6</definedName>
    <definedName name="ff_calculation" localSheetId="1">WORKDAY(INDEX(Gantt!$T:$T,Gantt!d.row,),Gantt!d.lag,)</definedName>
    <definedName name="fs_calculation" localSheetId="1">WORKDAY(INDEX(Gantt!$T:$T,Gantt!d.row,),1+Gantt!d.lag,)</definedName>
    <definedName name="highlight">Gantt!$BI$6</definedName>
    <definedName name="id" localSheetId="1">Gantt!$B1</definedName>
    <definedName name="ind.end">Gantt!$L1</definedName>
    <definedName name="ind.start" localSheetId="1">Gantt!$K1</definedName>
    <definedName name="issue" localSheetId="1">Gantt!$J1</definedName>
    <definedName name="item_in_base" localSheetId="1">AND(Gantt!date&gt;=Gantt!base_start,Gantt!date&lt;=Gantt!base_end)</definedName>
    <definedName name="item_in_complete" localSheetId="1">AND(Gantt!date&gt;=Gantt!plan_start,Gantt!date&lt;=WORKDAY(Gantt!plan_start, Gantt!percentage_complete*Gantt!workdays-1))</definedName>
    <definedName name="item_in_plan" localSheetId="1">AND(Gantt!date&gt;=Gantt!plan_start,Gantt!date&lt;=Gantt!plan_end)</definedName>
    <definedName name="next_date" localSheetId="1">Gantt!B$10</definedName>
    <definedName name="percentage_complete" localSheetId="1">Gantt!$W1</definedName>
    <definedName name="plan_end" localSheetId="1">Gantt!$T1</definedName>
    <definedName name="plan_end_calculation" localSheetId="1">WORKDAY(Gantt!plan_start,Gantt!workdays-1,)</definedName>
    <definedName name="plan_start" localSheetId="1">Gantt!$S1</definedName>
    <definedName name="plan_start_calculation" localSheetId="1">WORKDAY(Gantt!plan_end,(-1)*Gantt!workdays+1,)</definedName>
    <definedName name="prev_col_range" localSheetId="1">Gantt!A$13:A1048576</definedName>
    <definedName name="project_base_start" localSheetId="1">MIN(Gantt!$U$13:$U$1000)</definedName>
    <definedName name="project_duration" localSheetId="1">NETWORKDAYS(Gantt!project_start, Gantt!project_end)</definedName>
    <definedName name="project_end" localSheetId="1">MAX(Gantt!$T$13:$T$1000)</definedName>
    <definedName name="project_start" localSheetId="1">MIN(Gantt!$S$13:$S$10000)</definedName>
    <definedName name="role" localSheetId="1">Gantt!$H1</definedName>
    <definedName name="role_id" localSheetId="1">Gantt!$D1</definedName>
    <definedName name="scroll_incremental">Gantt!$W$11</definedName>
    <definedName name="sf_calculation" localSheetId="1">WORKDAY(INDEX(Gantt!$S:$S,Gantt!d.row,),(-1)+Gantt!d.lag,)</definedName>
    <definedName name="show_progress">Gantt!$AP$6</definedName>
    <definedName name="ss_calculation" localSheetId="1">WORKDAY(INDEX(Gantt!$S:$S,Gantt!d.row,),Gantt!d.lag,)</definedName>
    <definedName name="stage_id" localSheetId="1">Gantt!$C1</definedName>
    <definedName name="team_member" localSheetId="1">Gantt!$I1</definedName>
    <definedName name="timeline_base_start" localSheetId="1">Gantt!project_base_start-WEEKDAY(Gantt!project_base_start,3)</definedName>
    <definedName name="timeline_plan_start" localSheetId="1">IF(Gantt!project_start=0,TODAY()-WEEKDAY(TODAY(),3),Gantt!project_start-WEEKDAY(Gantt!project_start,3))</definedName>
    <definedName name="timeline_start" localSheetId="1">IF(display="Plan vs Base", IF(Gantt!timeline_base_start&gt;0, MIN(Gantt!timeline_base_start, Gantt!timeline_plan_start), Gantt!timeline_base_start), Gantt!timeline_plan_start)</definedName>
    <definedName name="type" localSheetId="1">Gantt!$E1</definedName>
    <definedName name="workdays" localSheetId="1">MAX(Gantt!$R1,1)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 a="1"/>
  <c r="H35" i="1" s="1"/>
  <c r="D35" i="1" s="1"/>
  <c r="N35" i="1"/>
  <c r="W34" i="1"/>
  <c r="W30" i="1" s="1" a="1"/>
  <c r="W30" i="1" s="1"/>
  <c r="W29" i="1"/>
  <c r="W25" i="1" s="1" a="1"/>
  <c r="W25" i="1" s="1"/>
  <c r="W24" i="1"/>
  <c r="W20" i="1" s="1" a="1"/>
  <c r="W20" i="1" s="1"/>
  <c r="W19" i="1"/>
  <c r="W15" i="1" s="1" a="1"/>
  <c r="W15" i="1" s="1"/>
  <c r="D33" i="1"/>
  <c r="D30" i="1"/>
  <c r="D25" i="1"/>
  <c r="D20" i="1"/>
  <c r="D15" i="1"/>
  <c r="C15" i="1"/>
  <c r="C16" i="1" s="1"/>
  <c r="S16" i="1" a="1"/>
  <c r="S16" i="1" s="1"/>
  <c r="T16" i="1" s="1" a="1"/>
  <c r="T16" i="1" s="1"/>
  <c r="H33" i="1" a="1"/>
  <c r="H33" i="1" s="1"/>
  <c r="N20" i="1"/>
  <c r="N25" i="1"/>
  <c r="N30" i="1"/>
  <c r="N15" i="1"/>
  <c r="N16" i="1"/>
  <c r="B15" i="1"/>
  <c r="H16" i="1" a="1"/>
  <c r="H16" i="1" s="1"/>
  <c r="D16" i="1" s="1"/>
  <c r="H17" i="1" a="1"/>
  <c r="H17" i="1" s="1"/>
  <c r="D17" i="1" s="1"/>
  <c r="H18" i="1" a="1"/>
  <c r="H18" i="1" s="1"/>
  <c r="D18" i="1" s="1"/>
  <c r="H21" i="1" a="1"/>
  <c r="H21" i="1" s="1"/>
  <c r="D21" i="1" s="1"/>
  <c r="H22" i="1" a="1"/>
  <c r="H22" i="1" s="1"/>
  <c r="D22" i="1" s="1"/>
  <c r="H23" i="1" a="1"/>
  <c r="H23" i="1" s="1"/>
  <c r="D23" i="1" s="1"/>
  <c r="H24" i="1" a="1"/>
  <c r="H24" i="1" s="1"/>
  <c r="D24" i="1" s="1"/>
  <c r="H25" i="1" a="1"/>
  <c r="H25" i="1" s="1"/>
  <c r="H26" i="1" a="1"/>
  <c r="H26" i="1" s="1"/>
  <c r="D26" i="1" s="1"/>
  <c r="H27" i="1" a="1"/>
  <c r="H27" i="1" s="1"/>
  <c r="D27" i="1" s="1"/>
  <c r="H28" i="1" a="1"/>
  <c r="H28" i="1" s="1"/>
  <c r="D28" i="1" s="1"/>
  <c r="H29" i="1" a="1"/>
  <c r="H29" i="1" s="1"/>
  <c r="D29" i="1" s="1"/>
  <c r="H30" i="1" a="1"/>
  <c r="H30" i="1" s="1"/>
  <c r="H31" i="1" a="1"/>
  <c r="H31" i="1" s="1"/>
  <c r="D31" i="1" s="1"/>
  <c r="H32" i="1" a="1"/>
  <c r="H32" i="1" s="1"/>
  <c r="D32" i="1" s="1"/>
  <c r="H34" i="1" a="1"/>
  <c r="H34" i="1" s="1"/>
  <c r="D34" i="1" s="1"/>
  <c r="H15" i="1" a="1"/>
  <c r="H15" i="1" s="1"/>
  <c r="J10" i="2"/>
  <c r="J11" i="2"/>
  <c r="J12" i="2"/>
  <c r="J13" i="2"/>
  <c r="J14" i="2"/>
  <c r="J15" i="2"/>
  <c r="J16" i="2"/>
  <c r="J9" i="2"/>
  <c r="P10" i="2" a="1"/>
  <c r="P10" i="2"/>
  <c r="H19" i="1" s="1" a="1"/>
  <c r="H19" i="1" s="1"/>
  <c r="D19" i="1" s="1"/>
  <c r="P11" i="2" a="1"/>
  <c r="P11" i="2" s="1"/>
  <c r="H20" i="1" s="1" a="1"/>
  <c r="H20" i="1" s="1"/>
  <c r="P12" i="2" a="1"/>
  <c r="P12" i="2"/>
  <c r="P13" i="2" a="1"/>
  <c r="P13" i="2"/>
  <c r="P14" i="2" a="1"/>
  <c r="P14" i="2" s="1"/>
  <c r="P15" i="2" a="1"/>
  <c r="P15" i="2" s="1"/>
  <c r="P16" i="2" a="1"/>
  <c r="P16" i="2"/>
  <c r="P17" i="2" a="1"/>
  <c r="P17" i="2" s="1"/>
  <c r="P18" i="2" a="1"/>
  <c r="P18" i="2"/>
  <c r="P19" i="2" a="1"/>
  <c r="P19" i="2"/>
  <c r="P20" i="2" a="1"/>
  <c r="P20" i="2" s="1"/>
  <c r="P21" i="2" a="1"/>
  <c r="P21" i="2"/>
  <c r="P22" i="2" a="1"/>
  <c r="P22" i="2" s="1"/>
  <c r="P23" i="2" a="1"/>
  <c r="P23" i="2" s="1"/>
  <c r="P24" i="2" a="1"/>
  <c r="P24" i="2"/>
  <c r="P25" i="2" a="1"/>
  <c r="P25" i="2"/>
  <c r="P26" i="2" a="1"/>
  <c r="P26" i="2" s="1"/>
  <c r="P27" i="2" a="1"/>
  <c r="P27" i="2"/>
  <c r="P28" i="2" a="1"/>
  <c r="P28" i="2"/>
  <c r="P29" i="2" a="1"/>
  <c r="P29" i="2" s="1"/>
  <c r="P30" i="2" a="1"/>
  <c r="P30" i="2"/>
  <c r="P9" i="2" a="1"/>
  <c r="P9" i="2" s="1"/>
  <c r="BA2" i="1"/>
  <c r="B2" i="1"/>
  <c r="W35" i="1" l="1"/>
  <c r="C17" i="1"/>
  <c r="B16" i="1"/>
  <c r="M21" i="1"/>
  <c r="C18" i="1" l="1"/>
  <c r="C19" i="1"/>
  <c r="B17" i="1"/>
  <c r="M17" i="1"/>
  <c r="S17" i="1" s="1" a="1"/>
  <c r="S17" i="1" s="1"/>
  <c r="O21" i="1" a="1"/>
  <c r="O21" i="1" s="1"/>
  <c r="C20" i="1" l="1"/>
  <c r="O17" i="1" a="1"/>
  <c r="O17" i="1" s="1"/>
  <c r="N17" i="1"/>
  <c r="M18" i="1"/>
  <c r="B18" i="1"/>
  <c r="B19" i="1" s="1"/>
  <c r="C21" i="1" l="1"/>
  <c r="N18" i="1"/>
  <c r="O18" i="1" a="1"/>
  <c r="O18" i="1" s="1"/>
  <c r="M19" i="1"/>
  <c r="B20" i="1"/>
  <c r="M29" i="1" s="1"/>
  <c r="C22" i="1" l="1"/>
  <c r="B21" i="1"/>
  <c r="B22" i="1" s="1"/>
  <c r="M23" i="1" s="1"/>
  <c r="N19" i="1"/>
  <c r="O19" i="1" a="1"/>
  <c r="O19" i="1" s="1"/>
  <c r="C23" i="1" l="1"/>
  <c r="B23" i="1"/>
  <c r="O23" i="1" a="1"/>
  <c r="O23" i="1" s="1"/>
  <c r="O29" i="1" a="1"/>
  <c r="O29" i="1" s="1"/>
  <c r="M22" i="1"/>
  <c r="N21" i="1"/>
  <c r="M24" i="1" l="1"/>
  <c r="O24" i="1" s="1" a="1"/>
  <c r="O24" i="1" s="1"/>
  <c r="C24" i="1"/>
  <c r="N23" i="1"/>
  <c r="B24" i="1"/>
  <c r="N24" i="1" s="1"/>
  <c r="N22" i="1"/>
  <c r="O22" i="1" a="1"/>
  <c r="O22" i="1" s="1"/>
  <c r="C25" i="1" l="1"/>
  <c r="B25" i="1"/>
  <c r="M31" i="1" s="1"/>
  <c r="C26" i="1" l="1"/>
  <c r="B26" i="1"/>
  <c r="B27" i="1" s="1"/>
  <c r="M26" i="1" s="1"/>
  <c r="C27" i="1" l="1"/>
  <c r="C28" i="1" s="1"/>
  <c r="B28" i="1"/>
  <c r="M27" i="1" s="1"/>
  <c r="C29" i="1" l="1"/>
  <c r="N26" i="1"/>
  <c r="O26" i="1" a="1"/>
  <c r="O26" i="1" s="1"/>
  <c r="B29" i="1"/>
  <c r="M28" i="1" s="1"/>
  <c r="C30" i="1" l="1"/>
  <c r="N27" i="1"/>
  <c r="O27" i="1" a="1"/>
  <c r="O27" i="1" s="1"/>
  <c r="B30" i="1"/>
  <c r="B31" i="1" s="1"/>
  <c r="N29" i="1"/>
  <c r="C31" i="1" l="1"/>
  <c r="B32" i="1"/>
  <c r="M32" i="1"/>
  <c r="O32" i="1" s="1" a="1"/>
  <c r="O32" i="1" s="1"/>
  <c r="N31" i="1"/>
  <c r="O28" i="1" a="1"/>
  <c r="O28" i="1" s="1"/>
  <c r="N28" i="1"/>
  <c r="O31" i="1" a="1"/>
  <c r="O31" i="1" s="1"/>
  <c r="C32" i="1" l="1"/>
  <c r="N32" i="1"/>
  <c r="M33" i="1"/>
  <c r="B33" i="1"/>
  <c r="C33" i="1" l="1"/>
  <c r="M34" i="1"/>
  <c r="N33" i="1"/>
  <c r="B34" i="1"/>
  <c r="O33" i="1" l="1" a="1"/>
  <c r="O33" i="1" s="1"/>
  <c r="B35" i="1"/>
  <c r="O35" i="1" s="1" a="1"/>
  <c r="O35" i="1" s="1"/>
  <c r="C34" i="1"/>
  <c r="C35" i="1" s="1"/>
  <c r="O15" i="1" a="1"/>
  <c r="O15" i="1" s="1"/>
  <c r="O30" i="1" a="1"/>
  <c r="O30" i="1" s="1"/>
  <c r="O20" i="1" a="1"/>
  <c r="O20" i="1" s="1"/>
  <c r="O25" i="1" a="1"/>
  <c r="O25" i="1" s="1"/>
  <c r="O16" i="1" a="1"/>
  <c r="O16" i="1" s="1"/>
  <c r="N34" i="1"/>
  <c r="O34" i="1" a="1"/>
  <c r="O34" i="1" s="1"/>
  <c r="T17" i="1" l="1" a="1"/>
  <c r="T17" i="1" s="1"/>
  <c r="S18" i="1" l="1" a="1"/>
  <c r="S18" i="1" s="1"/>
  <c r="T18" i="1" s="1" a="1"/>
  <c r="T18" i="1" s="1"/>
  <c r="T19" i="1" l="1" a="1"/>
  <c r="T19" i="1" s="1"/>
  <c r="S19" i="1" s="1" a="1"/>
  <c r="S19" i="1" s="1"/>
  <c r="K15" i="1" l="1"/>
  <c r="S15" i="1" s="1" a="1"/>
  <c r="S15" i="1" s="1"/>
  <c r="R15" i="1" s="1"/>
  <c r="T15" i="1" l="1" a="1"/>
  <c r="T15" i="1" s="1"/>
  <c r="S21" i="1" s="1" a="1"/>
  <c r="S21" i="1" s="1"/>
  <c r="T21" i="1" l="1" a="1"/>
  <c r="T21" i="1" s="1"/>
  <c r="S22" i="1" s="1" a="1"/>
  <c r="S22" i="1" s="1"/>
  <c r="T22" i="1" l="1" a="1"/>
  <c r="T22" i="1" s="1"/>
  <c r="S23" i="1" l="1" a="1"/>
  <c r="S23" i="1" s="1"/>
  <c r="T23" i="1" s="1" a="1"/>
  <c r="T23" i="1" s="1"/>
  <c r="T24" i="1" l="1" a="1"/>
  <c r="T24" i="1" s="1"/>
  <c r="S24" i="1" s="1" a="1"/>
  <c r="S24" i="1" s="1"/>
  <c r="K20" i="1" l="1"/>
  <c r="S20" i="1" s="1" a="1"/>
  <c r="S20" i="1" s="1"/>
  <c r="R20" i="1" l="1"/>
  <c r="T20" i="1" s="1" a="1"/>
  <c r="T20" i="1" s="1"/>
  <c r="T29" i="1" l="1" a="1"/>
  <c r="T29" i="1" s="1"/>
  <c r="S29" i="1" s="1" a="1"/>
  <c r="S29" i="1" s="1"/>
  <c r="T28" i="1" l="1" a="1"/>
  <c r="T28" i="1" s="1"/>
  <c r="S28" i="1" s="1" a="1"/>
  <c r="S28" i="1" s="1"/>
  <c r="T27" i="1" l="1" a="1"/>
  <c r="T27" i="1" s="1"/>
  <c r="S27" i="1" s="1" a="1"/>
  <c r="S27" i="1" s="1"/>
  <c r="T26" i="1" l="1" a="1"/>
  <c r="T26" i="1" s="1"/>
  <c r="S26" i="1" s="1" a="1"/>
  <c r="S26" i="1" s="1"/>
  <c r="K25" i="1" l="1"/>
  <c r="S25" i="1" s="1" a="1"/>
  <c r="S25" i="1" s="1"/>
  <c r="R25" i="1" l="1"/>
  <c r="T25" i="1" s="1" a="1"/>
  <c r="T25" i="1" s="1"/>
  <c r="S31" i="1" s="1" a="1"/>
  <c r="S31" i="1" s="1"/>
  <c r="T31" i="1" l="1" a="1"/>
  <c r="T31" i="1" s="1"/>
  <c r="S32" i="1" s="1" a="1"/>
  <c r="S32" i="1" s="1"/>
  <c r="T32" i="1" l="1" a="1"/>
  <c r="T32" i="1" s="1"/>
  <c r="S33" i="1" s="1" a="1"/>
  <c r="S33" i="1" s="1"/>
  <c r="T33" i="1" l="1" a="1"/>
  <c r="T33" i="1" s="1"/>
  <c r="T34" i="1" l="1" a="1"/>
  <c r="T34" i="1" s="1"/>
  <c r="T35" i="1" s="1" a="1"/>
  <c r="T35" i="1" s="1"/>
  <c r="S35" i="1" s="1" a="1"/>
  <c r="S35" i="1" s="1"/>
  <c r="S34" i="1" l="1" a="1"/>
  <c r="S34" i="1" s="1"/>
  <c r="K30" i="1" s="1"/>
  <c r="S30" i="1" l="1" a="1"/>
  <c r="S30" i="1" s="1"/>
  <c r="X10" i="1" s="1" a="1"/>
  <c r="X10" i="1" s="1"/>
  <c r="R30" i="1" l="1"/>
  <c r="T30" i="1" s="1" a="1"/>
  <c r="T30" i="1" s="1"/>
  <c r="AL2" i="1" s="1" a="1"/>
  <c r="AL2" i="1" s="1"/>
  <c r="AF2" i="1" a="1"/>
  <c r="AF2" i="1" s="1"/>
  <c r="AQ2" i="1" l="1" a="1"/>
  <c r="AQ2" i="1" s="1"/>
  <c r="Y10" i="1"/>
  <c r="X13" i="1"/>
  <c r="Y13" i="1" l="1"/>
  <c r="Z10" i="1"/>
  <c r="AA10" i="1" l="1"/>
  <c r="Z13" i="1"/>
  <c r="AB10" i="1" l="1"/>
  <c r="AA13" i="1"/>
  <c r="AC10" i="1" l="1"/>
  <c r="AB13" i="1"/>
  <c r="AD10" i="1" l="1"/>
  <c r="AC13" i="1"/>
  <c r="AE10" i="1" l="1"/>
  <c r="AD13" i="1"/>
  <c r="AE13" i="1" l="1"/>
  <c r="AF10" i="1"/>
  <c r="AG10" i="1" l="1"/>
  <c r="AF13" i="1"/>
  <c r="AG13" i="1" l="1"/>
  <c r="AH10" i="1"/>
  <c r="AI10" i="1" l="1"/>
  <c r="AH13" i="1"/>
  <c r="AI13" i="1" l="1"/>
  <c r="AJ10" i="1"/>
  <c r="AJ13" i="1" l="1"/>
  <c r="AK10" i="1"/>
  <c r="AL10" i="1" l="1"/>
  <c r="AK13" i="1"/>
  <c r="AM10" i="1" l="1"/>
  <c r="AL13" i="1"/>
  <c r="AM13" i="1" l="1"/>
  <c r="AN10" i="1"/>
  <c r="AO10" i="1" l="1"/>
  <c r="AN13" i="1"/>
  <c r="AP10" i="1" l="1"/>
  <c r="AO13" i="1"/>
  <c r="AQ10" i="1" l="1"/>
  <c r="AP13" i="1"/>
  <c r="AQ13" i="1" l="1"/>
  <c r="AR10" i="1"/>
  <c r="AR13" i="1" l="1"/>
  <c r="AS10" i="1"/>
  <c r="AT10" i="1" l="1"/>
  <c r="AS13" i="1"/>
  <c r="AT13" i="1" l="1"/>
  <c r="AU10" i="1"/>
  <c r="AU13" i="1" l="1"/>
  <c r="AV10" i="1"/>
  <c r="AV13" i="1" l="1"/>
  <c r="AW10" i="1"/>
  <c r="AX10" i="1" l="1"/>
  <c r="AW13" i="1"/>
  <c r="AX13" i="1" l="1"/>
  <c r="AY10" i="1"/>
  <c r="AY13" i="1" l="1"/>
  <c r="AZ10" i="1"/>
  <c r="BA10" i="1" l="1"/>
  <c r="AZ13" i="1"/>
  <c r="BA13" i="1" l="1"/>
  <c r="BB10" i="1"/>
  <c r="BB13" i="1" l="1"/>
  <c r="BC10" i="1"/>
  <c r="BD10" i="1" l="1"/>
  <c r="BC13" i="1"/>
  <c r="BD13" i="1" l="1"/>
  <c r="BE10" i="1"/>
  <c r="BE13" i="1" l="1"/>
  <c r="BF10" i="1"/>
  <c r="BG10" i="1" l="1"/>
  <c r="BF13" i="1"/>
  <c r="BH10" i="1" l="1"/>
  <c r="BG13" i="1"/>
  <c r="BI10" i="1" l="1"/>
  <c r="BH13" i="1"/>
  <c r="BI13" i="1" l="1"/>
  <c r="BJ10" i="1"/>
  <c r="BK10" i="1" l="1"/>
  <c r="BJ13" i="1"/>
  <c r="BL10" i="1" l="1"/>
  <c r="BK13" i="1"/>
  <c r="BM10" i="1" l="1"/>
  <c r="BL13" i="1"/>
  <c r="BM13" i="1" l="1"/>
  <c r="BN10" i="1"/>
  <c r="BN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<sst xmlns="http://schemas.openxmlformats.org/spreadsheetml/2006/main" count="154" uniqueCount="85">
  <si>
    <t>Gantt</t>
  </si>
  <si>
    <t>Input Column</t>
  </si>
  <si>
    <t>Calculated Column</t>
  </si>
  <si>
    <t>Snapshot Column</t>
  </si>
  <si>
    <t>ids</t>
  </si>
  <si>
    <t>Item Details</t>
  </si>
  <si>
    <t>Actual Plan</t>
  </si>
  <si>
    <t>Base Plan</t>
  </si>
  <si>
    <t>Updated on:</t>
  </si>
  <si>
    <t>Saved on:</t>
  </si>
  <si>
    <t>id</t>
  </si>
  <si>
    <t>s
id</t>
  </si>
  <si>
    <t>r
id</t>
  </si>
  <si>
    <t>Type</t>
  </si>
  <si>
    <t>Description</t>
  </si>
  <si>
    <t>Role</t>
  </si>
  <si>
    <t>Team
Member</t>
  </si>
  <si>
    <t>Start</t>
  </si>
  <si>
    <t>End</t>
  </si>
  <si>
    <t>Work
Days</t>
  </si>
  <si>
    <t>ind.
Start</t>
  </si>
  <si>
    <t>ind.
End</t>
  </si>
  <si>
    <t>d.
id</t>
  </si>
  <si>
    <t>d.
item</t>
  </si>
  <si>
    <t>d.
conn</t>
  </si>
  <si>
    <t>d.
lag</t>
  </si>
  <si>
    <t>%</t>
  </si>
  <si>
    <t>Settings</t>
  </si>
  <si>
    <t>Project Details</t>
  </si>
  <si>
    <t>Project Title:</t>
  </si>
  <si>
    <t>Project Manager:</t>
  </si>
  <si>
    <t>Project Priority:</t>
  </si>
  <si>
    <t>Example Project</t>
  </si>
  <si>
    <t>C. Miller</t>
  </si>
  <si>
    <t>High</t>
  </si>
  <si>
    <t>Project Timespan:</t>
  </si>
  <si>
    <t>-</t>
  </si>
  <si>
    <t>S</t>
  </si>
  <si>
    <t>Planning</t>
  </si>
  <si>
    <t>T</t>
  </si>
  <si>
    <t>M</t>
  </si>
  <si>
    <t>Implementation</t>
  </si>
  <si>
    <t>Milestone II</t>
  </si>
  <si>
    <t>Milestone I</t>
  </si>
  <si>
    <t>⚠</t>
  </si>
  <si>
    <t>⚠-🏴-◆-↖-↙</t>
  </si>
  <si>
    <t>Project Role Types</t>
  </si>
  <si>
    <t>Code</t>
  </si>
  <si>
    <t>#</t>
  </si>
  <si>
    <t>Project Management</t>
  </si>
  <si>
    <t>Coding</t>
  </si>
  <si>
    <t>Design</t>
  </si>
  <si>
    <t>Marketing</t>
  </si>
  <si>
    <t>Finance</t>
  </si>
  <si>
    <t>PM</t>
  </si>
  <si>
    <t>COD</t>
  </si>
  <si>
    <t>DES</t>
  </si>
  <si>
    <t>MAR</t>
  </si>
  <si>
    <t>FIN</t>
  </si>
  <si>
    <t>Name</t>
  </si>
  <si>
    <t>T. Suarez</t>
  </si>
  <si>
    <t>C. Anthony</t>
  </si>
  <si>
    <t>N. Manson</t>
  </si>
  <si>
    <t>J. Griffin</t>
  </si>
  <si>
    <t>Task P1</t>
  </si>
  <si>
    <t>Task P2</t>
  </si>
  <si>
    <t>Task P3</t>
  </si>
  <si>
    <t>FS</t>
  </si>
  <si>
    <t>SF</t>
  </si>
  <si>
    <t>FF</t>
  </si>
  <si>
    <t>Rollout Prep</t>
  </si>
  <si>
    <t>Task RP1</t>
  </si>
  <si>
    <t>Task RP2</t>
  </si>
  <si>
    <t>Task RP3</t>
  </si>
  <si>
    <t>Milestone III</t>
  </si>
  <si>
    <t>Rollout</t>
  </si>
  <si>
    <t>Milestone IV</t>
  </si>
  <si>
    <t>Color By</t>
  </si>
  <si>
    <t>Project Structure</t>
  </si>
  <si>
    <t>Display</t>
  </si>
  <si>
    <t>Plan</t>
  </si>
  <si>
    <t>Show Progress</t>
  </si>
  <si>
    <t>No</t>
  </si>
  <si>
    <t>Highlight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</si>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</sst>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9" formatCode="&quot;&quot;"/>
  </numFmts>
  <fonts count="3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theme="0"/>
      <name val="Calibri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9"/>
      <color theme="9" tint="-0.249977111117893"/>
      <name val="Calibri"/>
      <family val="2"/>
    </font>
    <font>
      <b/>
      <sz val="9"/>
      <color rgb="FF0070C0"/>
      <name val="Calibri"/>
      <family val="2"/>
    </font>
    <font>
      <b/>
      <sz val="10"/>
      <color theme="0"/>
      <name val="Calibri"/>
      <family val="2"/>
    </font>
    <font>
      <sz val="11"/>
      <color theme="1"/>
      <name val="Wingdings"/>
      <charset val="2"/>
    </font>
    <font>
      <b/>
      <sz val="9"/>
      <color theme="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8"/>
      <color theme="0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theme="6" tint="0.59999389629810485"/>
      <name val="Calibri"/>
      <family val="2"/>
    </font>
    <font>
      <sz val="10"/>
      <color theme="0"/>
      <name val="Aptos Narrow"/>
      <family val="2"/>
      <scheme val="minor"/>
    </font>
    <font>
      <sz val="10"/>
      <color theme="0"/>
      <name val="Calibr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Arial Unicode MS"/>
    </font>
    <font>
      <sz val="11"/>
      <color theme="1"/>
      <name val="Segoe UI Emoji"/>
      <family val="2"/>
    </font>
    <font>
      <sz val="8"/>
      <color theme="0" tint="-0.249977111117893"/>
      <name val="Calibri"/>
      <family val="2"/>
    </font>
    <font>
      <sz val="10"/>
      <color theme="0" tint="-0.34998626667073579"/>
      <name val="Aptos Narrow"/>
      <family val="2"/>
      <scheme val="minor"/>
    </font>
    <font>
      <sz val="9"/>
      <color theme="1"/>
      <name val="Calibri"/>
      <family val="2"/>
    </font>
    <font>
      <b/>
      <sz val="10"/>
      <name val="Calibri"/>
      <family val="2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rgb="FFECECEC"/>
      </bottom>
      <diagonal/>
    </border>
    <border>
      <left/>
      <right/>
      <top/>
      <bottom style="thin">
        <color rgb="FFECECEC"/>
      </bottom>
      <diagonal/>
    </border>
    <border>
      <left/>
      <right style="thin">
        <color theme="0" tint="-0.24994659260841701"/>
      </right>
      <top/>
      <bottom style="thin">
        <color rgb="FFECECEC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rgb="FFECECEC"/>
      </bottom>
      <diagonal/>
    </border>
    <border>
      <left style="thin">
        <color theme="0" tint="-0.24994659260841701"/>
      </left>
      <right/>
      <top style="thin">
        <color rgb="FFECECEC"/>
      </top>
      <bottom style="thin">
        <color rgb="FFECECEC"/>
      </bottom>
      <diagonal/>
    </border>
    <border>
      <left/>
      <right/>
      <top style="thin">
        <color rgb="FFECECEC"/>
      </top>
      <bottom style="thin">
        <color rgb="FFECECEC"/>
      </bottom>
      <diagonal/>
    </border>
    <border>
      <left/>
      <right style="thin">
        <color theme="0" tint="-0.24994659260841701"/>
      </right>
      <top style="thin">
        <color rgb="FFECECEC"/>
      </top>
      <bottom style="thin">
        <color rgb="FFECECEC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ECECEC"/>
      </top>
      <bottom style="thin">
        <color rgb="FFECECEC"/>
      </bottom>
      <diagonal/>
    </border>
    <border>
      <left style="thin">
        <color theme="0" tint="-0.24994659260841701"/>
      </left>
      <right/>
      <top style="thin">
        <color rgb="FFECECEC"/>
      </top>
      <bottom/>
      <diagonal/>
    </border>
    <border>
      <left/>
      <right/>
      <top style="thin">
        <color rgb="FFECECEC"/>
      </top>
      <bottom/>
      <diagonal/>
    </border>
    <border>
      <left/>
      <right style="thin">
        <color theme="0" tint="-0.24994659260841701"/>
      </right>
      <top style="thin">
        <color rgb="FFECECEC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ECECEC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 tint="-0.14996795556505021"/>
      </top>
      <bottom style="thin">
        <color theme="0"/>
      </bottom>
      <diagonal/>
    </border>
    <border>
      <left style="thin">
        <color theme="0"/>
      </left>
      <right/>
      <top style="thin">
        <color theme="0" tint="-0.1499679555650502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9" fontId="30" fillId="0" borderId="0" applyFont="0" applyFill="0" applyBorder="0" applyAlignment="0" applyProtection="0"/>
  </cellStyleXfs>
  <cellXfs count="118">
    <xf numFmtId="0" fontId="0" fillId="0" borderId="0" xfId="0"/>
    <xf numFmtId="0" fontId="0" fillId="2" borderId="0" xfId="0" applyFill="1"/>
    <xf numFmtId="0" fontId="0" fillId="4" borderId="0" xfId="0" applyFill="1"/>
    <xf numFmtId="0" fontId="3" fillId="2" borderId="0" xfId="0" applyFont="1" applyFill="1"/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1" fillId="5" borderId="0" xfId="0" applyFont="1" applyFill="1" applyAlignment="1">
      <alignment horizontal="center" vertical="center"/>
    </xf>
    <xf numFmtId="0" fontId="0" fillId="6" borderId="0" xfId="0" applyFill="1"/>
    <xf numFmtId="0" fontId="0" fillId="5" borderId="0" xfId="0" applyFill="1"/>
    <xf numFmtId="0" fontId="11" fillId="4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1" fillId="5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2" borderId="0" xfId="0" applyFont="1" applyFill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4" fillId="0" borderId="0" xfId="0" applyFont="1"/>
    <xf numFmtId="0" fontId="17" fillId="0" borderId="1" xfId="0" applyFont="1" applyBorder="1" applyAlignment="1">
      <alignment horizontal="left" indent="1"/>
    </xf>
    <xf numFmtId="0" fontId="14" fillId="11" borderId="0" xfId="0" applyFont="1" applyFill="1" applyAlignment="1">
      <alignment horizontal="left" indent="1"/>
    </xf>
    <xf numFmtId="0" fontId="14" fillId="12" borderId="0" xfId="0" applyFont="1" applyFill="1" applyAlignment="1">
      <alignment horizontal="left" indent="1"/>
    </xf>
    <xf numFmtId="0" fontId="19" fillId="2" borderId="0" xfId="0" applyFont="1" applyFill="1" applyAlignment="1">
      <alignment horizontal="center"/>
    </xf>
    <xf numFmtId="0" fontId="22" fillId="9" borderId="0" xfId="0" applyFont="1" applyFill="1" applyAlignment="1">
      <alignment horizontal="center" vertical="center"/>
    </xf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8" xfId="0" applyFont="1" applyBorder="1"/>
    <xf numFmtId="0" fontId="14" fillId="0" borderId="19" xfId="0" applyFont="1" applyBorder="1"/>
    <xf numFmtId="0" fontId="14" fillId="0" borderId="13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23" fillId="0" borderId="0" xfId="0" applyFont="1"/>
    <xf numFmtId="0" fontId="4" fillId="0" borderId="1" xfId="0" applyFont="1" applyBorder="1" applyAlignment="1">
      <alignment horizontal="center" vertical="center"/>
    </xf>
    <xf numFmtId="0" fontId="7" fillId="8" borderId="27" xfId="0" applyFont="1" applyFill="1" applyBorder="1" applyAlignment="1">
      <alignment horizontal="left" indent="1"/>
    </xf>
    <xf numFmtId="0" fontId="7" fillId="8" borderId="29" xfId="0" applyFont="1" applyFill="1" applyBorder="1" applyAlignment="1">
      <alignment horizontal="left" indent="1"/>
    </xf>
    <xf numFmtId="0" fontId="7" fillId="8" borderId="31" xfId="0" applyFont="1" applyFill="1" applyBorder="1" applyAlignment="1">
      <alignment horizontal="left" indent="1"/>
    </xf>
    <xf numFmtId="0" fontId="7" fillId="13" borderId="28" xfId="0" applyFont="1" applyFill="1" applyBorder="1" applyAlignment="1">
      <alignment horizontal="center" vertical="center"/>
    </xf>
    <xf numFmtId="0" fontId="7" fillId="13" borderId="30" xfId="0" applyFont="1" applyFill="1" applyBorder="1" applyAlignment="1">
      <alignment horizontal="center" vertical="center"/>
    </xf>
    <xf numFmtId="0" fontId="7" fillId="13" borderId="32" xfId="0" applyFont="1" applyFill="1" applyBorder="1" applyAlignment="1">
      <alignment horizontal="center" vertical="center"/>
    </xf>
    <xf numFmtId="0" fontId="7" fillId="13" borderId="28" xfId="0" applyFont="1" applyFill="1" applyBorder="1" applyAlignment="1">
      <alignment horizontal="center"/>
    </xf>
    <xf numFmtId="0" fontId="7" fillId="13" borderId="30" xfId="0" applyFont="1" applyFill="1" applyBorder="1" applyAlignment="1">
      <alignment horizontal="center"/>
    </xf>
    <xf numFmtId="0" fontId="7" fillId="13" borderId="32" xfId="0" applyFont="1" applyFill="1" applyBorder="1" applyAlignment="1">
      <alignment horizontal="center"/>
    </xf>
    <xf numFmtId="0" fontId="25" fillId="0" borderId="14" xfId="0" applyFont="1" applyBorder="1" applyAlignment="1">
      <alignment horizontal="left" vertical="center" indent="1"/>
    </xf>
    <xf numFmtId="164" fontId="14" fillId="0" borderId="13" xfId="0" applyNumberFormat="1" applyFont="1" applyBorder="1"/>
    <xf numFmtId="164" fontId="14" fillId="0" borderId="15" xfId="0" applyNumberFormat="1" applyFont="1" applyBorder="1"/>
    <xf numFmtId="0" fontId="14" fillId="0" borderId="16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/>
    </xf>
    <xf numFmtId="164" fontId="14" fillId="0" borderId="15" xfId="0" applyNumberFormat="1" applyFont="1" applyBorder="1" applyAlignment="1">
      <alignment horizontal="center"/>
    </xf>
    <xf numFmtId="164" fontId="14" fillId="0" borderId="17" xfId="0" applyNumberFormat="1" applyFont="1" applyBorder="1" applyAlignment="1">
      <alignment horizontal="center"/>
    </xf>
    <xf numFmtId="164" fontId="14" fillId="0" borderId="19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4" xfId="0" applyFont="1" applyBorder="1"/>
    <xf numFmtId="0" fontId="14" fillId="0" borderId="15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9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9" fillId="0" borderId="15" xfId="0" applyFont="1" applyBorder="1" applyAlignment="1">
      <alignment horizontal="center"/>
    </xf>
    <xf numFmtId="0" fontId="1" fillId="2" borderId="21" xfId="1" applyFont="1" applyFill="1" applyBorder="1" applyAlignment="1">
      <alignment horizontal="center" vertical="center" wrapText="1"/>
    </xf>
    <xf numFmtId="0" fontId="1" fillId="2" borderId="23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7" fillId="12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10" borderId="0" xfId="0" applyNumberFormat="1" applyFont="1" applyFill="1" applyAlignment="1">
      <alignment horizontal="center" vertical="top" textRotation="90"/>
    </xf>
    <xf numFmtId="0" fontId="13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0" fontId="15" fillId="2" borderId="21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3" xfId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164" fontId="19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9" fillId="0" borderId="2" xfId="0" applyNumberFormat="1" applyFont="1" applyBorder="1" applyAlignment="1">
      <alignment horizontal="center" vertical="center"/>
    </xf>
    <xf numFmtId="164" fontId="31" fillId="0" borderId="13" xfId="0" applyNumberFormat="1" applyFont="1" applyBorder="1"/>
    <xf numFmtId="164" fontId="31" fillId="0" borderId="15" xfId="0" applyNumberFormat="1" applyFont="1" applyBorder="1"/>
    <xf numFmtId="164" fontId="31" fillId="0" borderId="17" xfId="0" applyNumberFormat="1" applyFont="1" applyBorder="1"/>
    <xf numFmtId="164" fontId="31" fillId="0" borderId="19" xfId="0" applyNumberFormat="1" applyFont="1" applyBorder="1"/>
    <xf numFmtId="14" fontId="10" fillId="0" borderId="3" xfId="0" applyNumberFormat="1" applyFont="1" applyBorder="1" applyAlignment="1">
      <alignment horizontal="center" vertical="center"/>
    </xf>
    <xf numFmtId="9" fontId="14" fillId="0" borderId="16" xfId="2" applyFont="1" applyBorder="1"/>
    <xf numFmtId="169" fontId="7" fillId="0" borderId="14" xfId="0" applyNumberFormat="1" applyFont="1" applyBorder="1" applyAlignment="1">
      <alignment horizontal="center" vertical="center"/>
    </xf>
    <xf numFmtId="164" fontId="27" fillId="14" borderId="3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65">
    <dxf>
      <font>
        <b/>
        <i val="0"/>
        <color rgb="FF6DCE4A"/>
      </font>
      <fill>
        <patternFill>
          <bgColor theme="3" tint="9.9948118533890809E-2"/>
        </patternFill>
      </fill>
      <border>
        <vertical/>
        <horizontal/>
      </border>
    </dxf>
    <dxf>
      <font>
        <color theme="0" tint="-0.34998626667073579"/>
      </font>
      <numFmt numFmtId="167" formatCode="\◆"/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FFFF00"/>
      </font>
      <numFmt numFmtId="167" formatCode="\◆"/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ont>
        <color rgb="FF002060"/>
      </font>
      <numFmt numFmtId="167" formatCode="\◆"/>
    </dxf>
    <dxf>
      <fill>
        <patternFill>
          <bgColor theme="3" tint="0.499984740745262"/>
        </patternFill>
      </fill>
    </dxf>
    <dxf>
      <fill>
        <patternFill>
          <bgColor rgb="FF1C5186"/>
        </patternFill>
      </fill>
    </dxf>
    <dxf>
      <font>
        <color theme="9" tint="-0.24994659260841701"/>
      </font>
      <numFmt numFmtId="167" formatCode="\◆"/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ont>
        <color theme="5" tint="-0.24994659260841701"/>
      </font>
      <numFmt numFmtId="167" formatCode="\◆"/>
    </dxf>
    <dxf>
      <fill>
        <patternFill>
          <bgColor theme="5" tint="0.39994506668294322"/>
        </patternFill>
      </fill>
    </dxf>
    <dxf>
      <fill>
        <patternFill>
          <bgColor rgb="FF974111"/>
        </patternFill>
      </fill>
    </dxf>
    <dxf>
      <font>
        <color theme="7" tint="-0.499984740745262"/>
      </font>
      <numFmt numFmtId="167" formatCode="\◆"/>
    </dxf>
    <dxf>
      <fill>
        <patternFill>
          <bgColor rgb="FF0C88B4"/>
        </patternFill>
      </fill>
    </dxf>
    <dxf>
      <fill>
        <patternFill>
          <bgColor rgb="FF096585"/>
        </patternFill>
      </fill>
    </dxf>
    <dxf>
      <font>
        <color rgb="FF7030A0"/>
      </font>
      <numFmt numFmtId="167" formatCode="\◆"/>
    </dxf>
    <dxf>
      <fill>
        <patternFill>
          <bgColor rgb="FF8C3FC5"/>
        </patternFill>
      </fill>
    </dxf>
    <dxf>
      <fill>
        <patternFill>
          <bgColor rgb="FF7030A0"/>
        </patternFill>
      </fill>
    </dxf>
    <dxf>
      <font>
        <color rgb="FFA42C99"/>
      </font>
      <numFmt numFmtId="167" formatCode="\◆"/>
      <fill>
        <patternFill patternType="none">
          <bgColor auto="1"/>
        </patternFill>
      </fill>
    </dxf>
    <dxf>
      <fill>
        <patternFill>
          <bgColor theme="8" tint="0.39994506668294322"/>
        </patternFill>
      </fill>
    </dxf>
    <dxf>
      <fill>
        <patternFill>
          <bgColor rgb="FF9D2B92"/>
        </patternFill>
      </fill>
    </dxf>
    <dxf>
      <font>
        <color rgb="FF0070C0"/>
      </font>
      <numFmt numFmtId="167" formatCode="\◆"/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ont>
        <color rgb="FFFF0000"/>
      </font>
      <numFmt numFmtId="167" formatCode="\◆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theme="4" tint="-0.499984740745262"/>
      </font>
      <numFmt numFmtId="168" formatCode="\_xd83c_\_xdff4_"/>
    </dxf>
    <dxf>
      <fill>
        <patternFill>
          <bgColor theme="4" tint="-0.499984740745262"/>
        </patternFill>
      </fill>
    </dxf>
    <dxf>
      <font>
        <color theme="0" tint="-0.14996795556505021"/>
      </font>
      <numFmt numFmtId="167" formatCode="\◆"/>
    </dxf>
    <dxf>
      <font>
        <color auto="1"/>
      </font>
      <fill>
        <patternFill patternType="lightGray">
          <fgColor theme="0" tint="-0.499984740745262"/>
        </patternFill>
      </fill>
    </dxf>
    <dxf>
      <border>
        <right style="thin">
          <color theme="0" tint="-0.14996795556505021"/>
        </right>
        <vertical/>
        <horizontal/>
      </border>
    </dxf>
    <dxf>
      <border>
        <right style="dashed">
          <color theme="4" tint="-0.499984740745262"/>
        </right>
        <vertical/>
        <horizontal/>
      </border>
    </dxf>
    <dxf>
      <fill>
        <patternFill>
          <bgColor rgb="FFEAEAEA"/>
        </patternFill>
      </fill>
    </dxf>
    <dxf>
      <fill>
        <patternFill>
          <bgColor theme="9"/>
        </patternFill>
      </fill>
    </dxf>
    <dxf>
      <font>
        <color theme="0"/>
      </font>
    </dxf>
    <dxf>
      <font>
        <color theme="0" tint="-0.24994659260841701"/>
      </font>
    </dxf>
    <dxf>
      <font>
        <color rgb="FF0070C0"/>
      </font>
    </dxf>
    <dxf>
      <font>
        <color theme="0" tint="-0.24994659260841701"/>
      </font>
    </dxf>
    <dxf>
      <numFmt numFmtId="165" formatCode="\A\u\t\o"/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rgb="FF0F95CB"/>
        </patternFill>
      </fill>
    </dxf>
    <dxf>
      <fill>
        <patternFill>
          <bgColor rgb="FF007CA8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C838BA"/>
        </pattern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numFmt numFmtId="166" formatCode="\ \ \ \ @"/>
    </dxf>
    <dxf>
      <font>
        <b/>
        <i val="0"/>
      </font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colors>
    <mruColors>
      <color rgb="FF6DCE4A"/>
      <color rgb="FFFFFF99"/>
      <color rgb="FF1C5186"/>
      <color rgb="FF974111"/>
      <color rgb="FF0C88B4"/>
      <color rgb="FF096585"/>
      <color rgb="FF8C3FC5"/>
      <color rgb="FFA42C99"/>
      <color rgb="FF9D2B92"/>
      <color rgb="FF0F95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6" fmlaLink="$W$11" horiz="1" max="50" noThreeD="1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63</xdr:col>
          <xdr:colOff>177800</xdr:colOff>
          <xdr:row>6</xdr:row>
          <xdr:rowOff>130387</xdr:rowOff>
        </xdr:from>
        <xdr:to>
          <xdr:col>65</xdr:col>
          <xdr:colOff>152399</xdr:colOff>
          <xdr:row>7</xdr:row>
          <xdr:rowOff>152400</xdr:rowOff>
        </xdr:to>
        <xdr:sp macro="" textlink="">
          <xdr:nvSpPr>
            <xdr:cNvPr id="1041" name="Scroll Bar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6D4-BC52-4D59-AB70-F56E7A441ECE}">
  <dimension ref="B1:Y31"/>
  <sheetViews>
    <sheetView showGridLines="0" zoomScale="90" zoomScaleNormal="90" workbookViewId="0">
      <selection activeCell="I9" sqref="I9:I13"/>
    </sheetView>
  </sheetViews>
  <sheetFormatPr defaultRowHeight="14.4"/>
  <cols>
    <col min="1" max="1" width="5.21875" customWidth="1"/>
    <col min="2" max="2" width="2.21875" customWidth="1"/>
    <col min="3" max="3" width="14.5546875" customWidth="1"/>
    <col min="4" max="4" width="16.33203125" customWidth="1"/>
    <col min="5" max="5" width="3.21875" customWidth="1"/>
    <col min="7" max="7" width="2" customWidth="1"/>
    <col min="8" max="8" width="17.88671875" customWidth="1"/>
    <col min="9" max="9" width="10.88671875" customWidth="1"/>
    <col min="10" max="10" width="6.33203125" customWidth="1"/>
    <col min="11" max="11" width="2.6640625" customWidth="1"/>
    <col min="12" max="12" width="4.21875" customWidth="1"/>
    <col min="13" max="13" width="2.109375" customWidth="1"/>
    <col min="14" max="14" width="20.77734375" customWidth="1"/>
    <col min="15" max="15" width="19" customWidth="1"/>
    <col min="16" max="16" width="8.5546875" customWidth="1"/>
    <col min="17" max="17" width="2.44140625" customWidth="1"/>
    <col min="23" max="23" width="13.44140625" customWidth="1"/>
    <col min="24" max="24" width="6.21875" customWidth="1"/>
    <col min="25" max="25" width="7.33203125" customWidth="1"/>
  </cols>
  <sheetData>
    <row r="1" spans="2:25" s="1" customFormat="1"/>
    <row r="2" spans="2:25" s="1" customFormat="1" ht="16.8" customHeight="1">
      <c r="B2" s="32" t="s">
        <v>27</v>
      </c>
      <c r="X2" s="79" t="s">
        <v>0</v>
      </c>
      <c r="Y2" s="80"/>
    </row>
    <row r="3" spans="2:25" s="1" customFormat="1" ht="7.8" customHeight="1"/>
    <row r="6" spans="2:25">
      <c r="B6" s="81" t="s">
        <v>28</v>
      </c>
      <c r="C6" s="81"/>
      <c r="D6" s="81"/>
      <c r="E6" s="81"/>
      <c r="G6" s="82" t="s">
        <v>46</v>
      </c>
      <c r="H6" s="82"/>
      <c r="I6" s="82"/>
      <c r="J6" s="82"/>
      <c r="K6" s="82"/>
      <c r="M6" s="82" t="s">
        <v>46</v>
      </c>
      <c r="N6" s="82"/>
      <c r="O6" s="82"/>
      <c r="P6" s="82"/>
      <c r="Q6" s="82"/>
    </row>
    <row r="7" spans="2:25">
      <c r="B7" s="17"/>
      <c r="E7" s="18"/>
      <c r="G7" s="17"/>
      <c r="K7" s="18"/>
      <c r="M7" s="17"/>
      <c r="Q7" s="18"/>
    </row>
    <row r="8" spans="2:25">
      <c r="B8" s="17"/>
      <c r="C8" s="37" t="s">
        <v>29</v>
      </c>
      <c r="D8" s="38" t="s">
        <v>32</v>
      </c>
      <c r="E8" s="18"/>
      <c r="G8" s="17"/>
      <c r="H8" s="51" t="s">
        <v>15</v>
      </c>
      <c r="I8" s="51" t="s">
        <v>47</v>
      </c>
      <c r="J8" s="51" t="s">
        <v>48</v>
      </c>
      <c r="K8" s="18"/>
      <c r="M8" s="17"/>
      <c r="N8" s="51" t="s">
        <v>59</v>
      </c>
      <c r="O8" s="51" t="s">
        <v>15</v>
      </c>
      <c r="P8" s="51" t="s">
        <v>47</v>
      </c>
      <c r="Q8" s="18"/>
    </row>
    <row r="9" spans="2:25">
      <c r="B9" s="17"/>
      <c r="E9" s="18"/>
      <c r="G9" s="17"/>
      <c r="H9" s="52" t="s">
        <v>49</v>
      </c>
      <c r="I9" s="52" t="s">
        <v>54</v>
      </c>
      <c r="J9" s="58">
        <f>IF(H9&lt;&gt;"",COUNTIF($O$9:$O$30,H9),"")</f>
        <v>1</v>
      </c>
      <c r="K9" s="18"/>
      <c r="M9" s="17"/>
      <c r="N9" s="52" t="s">
        <v>33</v>
      </c>
      <c r="O9" s="52" t="s">
        <v>50</v>
      </c>
      <c r="P9" s="55" t="str" cm="1">
        <f t="array" ref="P9">_xlfn.IFNA(INDEX($I$9:$I$16,MATCH(O9,$H$9:$H$16,0),),"")</f>
        <v>COD</v>
      </c>
      <c r="Q9" s="18"/>
    </row>
    <row r="10" spans="2:25">
      <c r="B10" s="17"/>
      <c r="C10" s="37" t="s">
        <v>30</v>
      </c>
      <c r="D10" s="38" t="s">
        <v>33</v>
      </c>
      <c r="E10" s="18"/>
      <c r="G10" s="17"/>
      <c r="H10" s="53" t="s">
        <v>50</v>
      </c>
      <c r="I10" s="53" t="s">
        <v>55</v>
      </c>
      <c r="J10" s="59">
        <f t="shared" ref="J10:J16" si="0">IF(H10&lt;&gt;"",COUNTIF($O$9:$O$30,H10),"")</f>
        <v>2</v>
      </c>
      <c r="K10" s="18"/>
      <c r="M10" s="17"/>
      <c r="N10" s="53" t="s">
        <v>60</v>
      </c>
      <c r="O10" s="53" t="s">
        <v>49</v>
      </c>
      <c r="P10" s="56" t="str" cm="1">
        <f t="array" ref="P10">_xlfn.IFNA(INDEX($I$9:$I$16,MATCH(O10,$H$9:$H$16,0),),"")</f>
        <v>PM</v>
      </c>
      <c r="Q10" s="18"/>
    </row>
    <row r="11" spans="2:25">
      <c r="B11" s="17"/>
      <c r="E11" s="18"/>
      <c r="G11" s="17"/>
      <c r="H11" s="53" t="s">
        <v>51</v>
      </c>
      <c r="I11" s="53" t="s">
        <v>56</v>
      </c>
      <c r="J11" s="59">
        <f t="shared" si="0"/>
        <v>0</v>
      </c>
      <c r="K11" s="18"/>
      <c r="M11" s="17"/>
      <c r="N11" s="53" t="s">
        <v>61</v>
      </c>
      <c r="O11" s="53" t="s">
        <v>52</v>
      </c>
      <c r="P11" s="56" t="str" cm="1">
        <f t="array" ref="P11">_xlfn.IFNA(INDEX($I$9:$I$16,MATCH(O11,$H$9:$H$16,0),),"")</f>
        <v>MAR</v>
      </c>
      <c r="Q11" s="18"/>
    </row>
    <row r="12" spans="2:25">
      <c r="B12" s="17"/>
      <c r="C12" s="37" t="s">
        <v>31</v>
      </c>
      <c r="D12" s="39" t="s">
        <v>34</v>
      </c>
      <c r="E12" s="18"/>
      <c r="G12" s="17"/>
      <c r="H12" s="53" t="s">
        <v>52</v>
      </c>
      <c r="I12" s="53" t="s">
        <v>57</v>
      </c>
      <c r="J12" s="59">
        <f t="shared" si="0"/>
        <v>1</v>
      </c>
      <c r="K12" s="18"/>
      <c r="M12" s="17"/>
      <c r="N12" s="53" t="s">
        <v>62</v>
      </c>
      <c r="O12" s="53" t="s">
        <v>53</v>
      </c>
      <c r="P12" s="56" t="str" cm="1">
        <f t="array" ref="P12">_xlfn.IFNA(INDEX($I$9:$I$16,MATCH(O12,$H$9:$H$16,0),),"")</f>
        <v>FIN</v>
      </c>
      <c r="Q12" s="18"/>
    </row>
    <row r="13" spans="2:25">
      <c r="B13" s="17"/>
      <c r="E13" s="18"/>
      <c r="G13" s="17"/>
      <c r="H13" s="53" t="s">
        <v>53</v>
      </c>
      <c r="I13" s="53" t="s">
        <v>58</v>
      </c>
      <c r="J13" s="59">
        <f t="shared" si="0"/>
        <v>1</v>
      </c>
      <c r="K13" s="18"/>
      <c r="M13" s="17"/>
      <c r="N13" s="53" t="s">
        <v>63</v>
      </c>
      <c r="O13" s="53" t="s">
        <v>50</v>
      </c>
      <c r="P13" s="56" t="str" cm="1">
        <f t="array" ref="P13">_xlfn.IFNA(INDEX($I$9:$I$16,MATCH(O13,$H$9:$H$16,0),),"")</f>
        <v>COD</v>
      </c>
      <c r="Q13" s="18"/>
    </row>
    <row r="14" spans="2:25">
      <c r="B14" s="33"/>
      <c r="C14" s="34"/>
      <c r="D14" s="34"/>
      <c r="E14" s="35"/>
      <c r="G14" s="17"/>
      <c r="H14" s="53"/>
      <c r="I14" s="53"/>
      <c r="J14" s="59" t="str">
        <f t="shared" si="0"/>
        <v/>
      </c>
      <c r="K14" s="18"/>
      <c r="M14" s="17"/>
      <c r="N14" s="53"/>
      <c r="O14" s="53"/>
      <c r="P14" s="56" t="str" cm="1">
        <f t="array" ref="P14">_xlfn.IFNA(INDEX($I$9:$I$16,MATCH(O14,$H$9:$H$16,0),),"")</f>
        <v/>
      </c>
      <c r="Q14" s="18"/>
    </row>
    <row r="15" spans="2:25">
      <c r="G15" s="17"/>
      <c r="H15" s="53"/>
      <c r="I15" s="53"/>
      <c r="J15" s="59" t="str">
        <f t="shared" si="0"/>
        <v/>
      </c>
      <c r="K15" s="18"/>
      <c r="M15" s="17"/>
      <c r="N15" s="53"/>
      <c r="O15" s="53"/>
      <c r="P15" s="56" t="str" cm="1">
        <f t="array" ref="P15">_xlfn.IFNA(INDEX($I$9:$I$16,MATCH(O15,$H$9:$H$16,0),),"")</f>
        <v/>
      </c>
      <c r="Q15" s="18"/>
    </row>
    <row r="16" spans="2:25">
      <c r="G16" s="17"/>
      <c r="H16" s="54"/>
      <c r="I16" s="54"/>
      <c r="J16" s="60" t="str">
        <f t="shared" si="0"/>
        <v/>
      </c>
      <c r="K16" s="18"/>
      <c r="M16" s="17"/>
      <c r="N16" s="53"/>
      <c r="O16" s="53"/>
      <c r="P16" s="56" t="str" cm="1">
        <f t="array" ref="P16">_xlfn.IFNA(INDEX($I$9:$I$16,MATCH(O16,$H$9:$H$16,0),),"")</f>
        <v/>
      </c>
      <c r="Q16" s="18"/>
    </row>
    <row r="17" spans="7:17">
      <c r="G17" s="33"/>
      <c r="H17" s="34"/>
      <c r="I17" s="34"/>
      <c r="J17" s="34"/>
      <c r="K17" s="35"/>
      <c r="M17" s="17"/>
      <c r="N17" s="53"/>
      <c r="O17" s="53"/>
      <c r="P17" s="56" t="str" cm="1">
        <f t="array" ref="P17">_xlfn.IFNA(INDEX($I$9:$I$16,MATCH(O17,$H$9:$H$16,0),),"")</f>
        <v/>
      </c>
      <c r="Q17" s="18"/>
    </row>
    <row r="18" spans="7:17">
      <c r="M18" s="17"/>
      <c r="N18" s="53"/>
      <c r="O18" s="53"/>
      <c r="P18" s="56" t="str" cm="1">
        <f t="array" ref="P18">_xlfn.IFNA(INDEX($I$9:$I$16,MATCH(O18,$H$9:$H$16,0),),"")</f>
        <v/>
      </c>
      <c r="Q18" s="18"/>
    </row>
    <row r="19" spans="7:17">
      <c r="M19" s="17"/>
      <c r="N19" s="53"/>
      <c r="O19" s="53"/>
      <c r="P19" s="56" t="str" cm="1">
        <f t="array" ref="P19">_xlfn.IFNA(INDEX($I$9:$I$16,MATCH(O19,$H$9:$H$16,0),),"")</f>
        <v/>
      </c>
      <c r="Q19" s="18"/>
    </row>
    <row r="20" spans="7:17">
      <c r="M20" s="17"/>
      <c r="N20" s="53"/>
      <c r="O20" s="53"/>
      <c r="P20" s="56" t="str" cm="1">
        <f t="array" ref="P20">_xlfn.IFNA(INDEX($I$9:$I$16,MATCH(O20,$H$9:$H$16,0),),"")</f>
        <v/>
      </c>
      <c r="Q20" s="18"/>
    </row>
    <row r="21" spans="7:17">
      <c r="M21" s="17"/>
      <c r="N21" s="53"/>
      <c r="O21" s="53"/>
      <c r="P21" s="56" t="str" cm="1">
        <f t="array" ref="P21">_xlfn.IFNA(INDEX($I$9:$I$16,MATCH(O21,$H$9:$H$16,0),),"")</f>
        <v/>
      </c>
      <c r="Q21" s="18"/>
    </row>
    <row r="22" spans="7:17">
      <c r="M22" s="17"/>
      <c r="N22" s="53"/>
      <c r="O22" s="53"/>
      <c r="P22" s="56" t="str" cm="1">
        <f t="array" ref="P22">_xlfn.IFNA(INDEX($I$9:$I$16,MATCH(O22,$H$9:$H$16,0),),"")</f>
        <v/>
      </c>
      <c r="Q22" s="18"/>
    </row>
    <row r="23" spans="7:17">
      <c r="M23" s="17"/>
      <c r="N23" s="53"/>
      <c r="O23" s="53"/>
      <c r="P23" s="56" t="str" cm="1">
        <f t="array" ref="P23">_xlfn.IFNA(INDEX($I$9:$I$16,MATCH(O23,$H$9:$H$16,0),),"")</f>
        <v/>
      </c>
      <c r="Q23" s="18"/>
    </row>
    <row r="24" spans="7:17">
      <c r="M24" s="17"/>
      <c r="N24" s="53"/>
      <c r="O24" s="53"/>
      <c r="P24" s="56" t="str" cm="1">
        <f t="array" ref="P24">_xlfn.IFNA(INDEX($I$9:$I$16,MATCH(O24,$H$9:$H$16,0),),"")</f>
        <v/>
      </c>
      <c r="Q24" s="18"/>
    </row>
    <row r="25" spans="7:17">
      <c r="M25" s="17"/>
      <c r="N25" s="53"/>
      <c r="O25" s="53"/>
      <c r="P25" s="56" t="str" cm="1">
        <f t="array" ref="P25">_xlfn.IFNA(INDEX($I$9:$I$16,MATCH(O25,$H$9:$H$16,0),),"")</f>
        <v/>
      </c>
      <c r="Q25" s="18"/>
    </row>
    <row r="26" spans="7:17">
      <c r="M26" s="17"/>
      <c r="N26" s="53"/>
      <c r="O26" s="53"/>
      <c r="P26" s="56" t="str" cm="1">
        <f t="array" ref="P26">_xlfn.IFNA(INDEX($I$9:$I$16,MATCH(O26,$H$9:$H$16,0),),"")</f>
        <v/>
      </c>
      <c r="Q26" s="18"/>
    </row>
    <row r="27" spans="7:17">
      <c r="M27" s="17"/>
      <c r="N27" s="53"/>
      <c r="O27" s="53"/>
      <c r="P27" s="56" t="str" cm="1">
        <f t="array" ref="P27">_xlfn.IFNA(INDEX($I$9:$I$16,MATCH(O27,$H$9:$H$16,0),),"")</f>
        <v/>
      </c>
      <c r="Q27" s="18"/>
    </row>
    <row r="28" spans="7:17">
      <c r="M28" s="17"/>
      <c r="N28" s="53"/>
      <c r="O28" s="53"/>
      <c r="P28" s="56" t="str" cm="1">
        <f t="array" ref="P28">_xlfn.IFNA(INDEX($I$9:$I$16,MATCH(O28,$H$9:$H$16,0),),"")</f>
        <v/>
      </c>
      <c r="Q28" s="18"/>
    </row>
    <row r="29" spans="7:17">
      <c r="M29" s="17"/>
      <c r="N29" s="53"/>
      <c r="O29" s="53"/>
      <c r="P29" s="56" t="str" cm="1">
        <f t="array" ref="P29">_xlfn.IFNA(INDEX($I$9:$I$16,MATCH(O29,$H$9:$H$16,0),),"")</f>
        <v/>
      </c>
      <c r="Q29" s="18"/>
    </row>
    <row r="30" spans="7:17">
      <c r="M30" s="17"/>
      <c r="N30" s="54"/>
      <c r="O30" s="54"/>
      <c r="P30" s="57" t="str" cm="1">
        <f t="array" ref="P30">_xlfn.IFNA(INDEX($I$9:$I$16,MATCH(O30,$H$9:$H$16,0),),"")</f>
        <v/>
      </c>
      <c r="Q30" s="18"/>
    </row>
    <row r="31" spans="7:17">
      <c r="M31" s="33"/>
      <c r="N31" s="34"/>
      <c r="O31" s="34"/>
      <c r="P31" s="34"/>
      <c r="Q31" s="35"/>
    </row>
  </sheetData>
  <mergeCells count="4">
    <mergeCell ref="X2:Y2"/>
    <mergeCell ref="B6:E6"/>
    <mergeCell ref="G6:K6"/>
    <mergeCell ref="M6:Q6"/>
  </mergeCells>
  <dataValidations count="2">
    <dataValidation type="list" allowBlank="1" showInputMessage="1" showErrorMessage="1" sqref="D12" xr:uid="{1E05B626-ABFF-4228-AEA6-6EFF183B1618}">
      <formula1>"High, Medium, Low"</formula1>
    </dataValidation>
    <dataValidation type="list" allowBlank="1" showInputMessage="1" showErrorMessage="1" sqref="O9:O30" xr:uid="{D11921EE-4599-4E4B-97FD-2FDF244DE85A}">
      <formula1>OFFSET($H$9,,,COUNTA($H$9:$H$16),)</formula1>
    </dataValidation>
  </dataValidations>
  <hyperlinks>
    <hyperlink ref="X2:Y2" location="Gantt!BL2" tooltip="Go To Gantt Chart" display="Gantt" xr:uid="{0BEEEE14-0AC5-49EF-8491-3F7B10E0D6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0E65-0C9C-4D82-80DA-AF63C0FA6376}">
  <dimension ref="A1:BN35"/>
  <sheetViews>
    <sheetView showGridLines="0" tabSelected="1" topLeftCell="E1" zoomScale="90" zoomScaleNormal="90" workbookViewId="0">
      <pane ySplit="14" topLeftCell="A15" activePane="bottomLeft" state="frozen"/>
      <selection pane="bottomLeft" activeCell="S6" sqref="S6"/>
    </sheetView>
  </sheetViews>
  <sheetFormatPr defaultRowHeight="14.4" outlineLevelCol="1"/>
  <cols>
    <col min="1" max="1" width="2.77734375" customWidth="1"/>
    <col min="2" max="2" width="2.5546875" customWidth="1"/>
    <col min="3" max="3" width="3.109375" customWidth="1"/>
    <col min="4" max="4" width="2.6640625" customWidth="1"/>
    <col min="5" max="5" width="5.6640625" customWidth="1"/>
    <col min="6" max="6" width="14" customWidth="1"/>
    <col min="7" max="7" width="2" customWidth="1"/>
    <col min="8" max="8" width="6.109375" customWidth="1"/>
    <col min="9" max="9" width="9.77734375" customWidth="1"/>
    <col min="10" max="10" width="3" customWidth="1"/>
    <col min="11" max="11" width="8.6640625" customWidth="1" outlineLevel="1"/>
    <col min="12" max="12" width="9.88671875" customWidth="1" outlineLevel="1"/>
    <col min="13" max="13" width="2.88671875" customWidth="1" outlineLevel="1"/>
    <col min="14" max="14" width="2.44140625" customWidth="1" outlineLevel="1"/>
    <col min="15" max="15" width="10.21875" customWidth="1" outlineLevel="1"/>
    <col min="16" max="16" width="5.44140625" customWidth="1" outlineLevel="1"/>
    <col min="17" max="17" width="4.77734375" customWidth="1" outlineLevel="1"/>
    <col min="18" max="18" width="6.77734375" customWidth="1"/>
    <col min="19" max="19" width="8.77734375" customWidth="1"/>
    <col min="20" max="20" width="9.44140625" customWidth="1"/>
    <col min="21" max="21" width="9.77734375" customWidth="1" outlineLevel="1"/>
    <col min="22" max="22" width="9.88671875" customWidth="1" outlineLevel="1"/>
    <col min="23" max="23" width="6.33203125" customWidth="1"/>
    <col min="24" max="66" width="2.77734375" customWidth="1"/>
  </cols>
  <sheetData>
    <row r="1" spans="1:66" s="1" customFormat="1"/>
    <row r="2" spans="1:66" s="1" customFormat="1" ht="14.4" customHeight="1">
      <c r="B2" s="3" t="str">
        <f>Settings!$D$8</f>
        <v>Example Project</v>
      </c>
      <c r="X2" s="104" t="s">
        <v>35</v>
      </c>
      <c r="Y2" s="104"/>
      <c r="Z2" s="104"/>
      <c r="AA2" s="104"/>
      <c r="AB2" s="104"/>
      <c r="AC2" s="104"/>
      <c r="AD2" s="104"/>
      <c r="AF2" s="106" cm="1">
        <f t="array" ref="AF2">project_start</f>
        <v>45693</v>
      </c>
      <c r="AG2" s="106"/>
      <c r="AH2" s="106"/>
      <c r="AI2" s="106"/>
      <c r="AJ2" s="106"/>
      <c r="AK2" s="40" t="s">
        <v>36</v>
      </c>
      <c r="AL2" s="106" cm="1">
        <f t="array" ref="AL2">project_end</f>
        <v>45733</v>
      </c>
      <c r="AM2" s="106"/>
      <c r="AN2" s="106"/>
      <c r="AO2" s="106"/>
      <c r="AP2" s="106"/>
      <c r="AQ2" s="107" t="str" cm="1">
        <f t="array" ref="AQ2">"(" &amp; project_duration &amp; ")"</f>
        <v>(29)</v>
      </c>
      <c r="AR2" s="107"/>
      <c r="AT2" s="104" t="s">
        <v>30</v>
      </c>
      <c r="AU2" s="104"/>
      <c r="AV2" s="104"/>
      <c r="AW2" s="104"/>
      <c r="AX2" s="104"/>
      <c r="AY2" s="104"/>
      <c r="AZ2" s="104"/>
      <c r="BA2" s="105" t="str">
        <f>Settings!$D$10</f>
        <v>C. Miller</v>
      </c>
      <c r="BB2" s="105"/>
      <c r="BC2" s="105"/>
      <c r="BD2" s="105"/>
      <c r="BE2" s="105"/>
      <c r="BI2" s="101" t="s">
        <v>27</v>
      </c>
      <c r="BJ2" s="102"/>
      <c r="BK2" s="102"/>
      <c r="BL2" s="102"/>
      <c r="BM2" s="102"/>
      <c r="BN2" s="103"/>
    </row>
    <row r="3" spans="1:66" s="1" customFormat="1" ht="7.8" customHeight="1"/>
    <row r="5" spans="1:66">
      <c r="B5" s="9"/>
      <c r="C5" t="s">
        <v>1</v>
      </c>
      <c r="X5" s="83" t="s">
        <v>77</v>
      </c>
      <c r="Y5" s="84"/>
      <c r="Z5" s="84"/>
      <c r="AA5" s="84"/>
      <c r="AB5" s="84"/>
      <c r="AC5" s="85"/>
      <c r="AG5" s="83" t="s">
        <v>79</v>
      </c>
      <c r="AH5" s="84"/>
      <c r="AI5" s="84"/>
      <c r="AJ5" s="84"/>
      <c r="AK5" s="84"/>
      <c r="AL5" s="85"/>
      <c r="AP5" s="83" t="s">
        <v>81</v>
      </c>
      <c r="AQ5" s="84"/>
      <c r="AR5" s="84"/>
      <c r="AS5" s="84"/>
      <c r="AT5" s="84"/>
      <c r="AU5" s="85"/>
      <c r="BI5" s="83" t="s">
        <v>83</v>
      </c>
      <c r="BJ5" s="84"/>
      <c r="BK5" s="84"/>
      <c r="BL5" s="84"/>
      <c r="BM5" s="84"/>
      <c r="BN5" s="85"/>
    </row>
    <row r="6" spans="1:66">
      <c r="B6" s="2"/>
      <c r="C6" t="s">
        <v>2</v>
      </c>
      <c r="X6" s="86" t="s">
        <v>78</v>
      </c>
      <c r="Y6" s="86"/>
      <c r="Z6" s="86"/>
      <c r="AA6" s="86"/>
      <c r="AB6" s="86"/>
      <c r="AC6" s="86"/>
      <c r="AG6" s="86" t="s">
        <v>80</v>
      </c>
      <c r="AH6" s="86"/>
      <c r="AI6" s="86"/>
      <c r="AJ6" s="86"/>
      <c r="AK6" s="86"/>
      <c r="AL6" s="86"/>
      <c r="AP6" s="86" t="s">
        <v>82</v>
      </c>
      <c r="AQ6" s="86"/>
      <c r="AR6" s="86"/>
      <c r="AS6" s="86"/>
      <c r="AT6" s="86"/>
      <c r="AU6" s="86"/>
      <c r="BI6" s="116" t="s">
        <v>84</v>
      </c>
      <c r="BJ6" s="116"/>
      <c r="BK6" s="116"/>
      <c r="BL6" s="116"/>
      <c r="BM6" s="116"/>
      <c r="BN6" s="116"/>
    </row>
    <row r="7" spans="1:66">
      <c r="B7" s="8"/>
      <c r="C7" t="s">
        <v>3</v>
      </c>
    </row>
    <row r="9" spans="1:66" ht="3.6" customHeight="1">
      <c r="F9" s="50"/>
      <c r="H9" s="49"/>
    </row>
    <row r="10" spans="1:66" ht="14.4" customHeight="1">
      <c r="B10" t="s">
        <v>45</v>
      </c>
      <c r="E10" s="6"/>
      <c r="K10" s="91" t="s">
        <v>6</v>
      </c>
      <c r="L10" s="91"/>
      <c r="M10" s="91"/>
      <c r="N10" s="91"/>
      <c r="O10" s="91"/>
      <c r="P10" s="91"/>
      <c r="Q10" s="91"/>
      <c r="R10" s="91"/>
      <c r="S10" s="91"/>
      <c r="T10" s="91"/>
      <c r="U10" s="92" t="s">
        <v>7</v>
      </c>
      <c r="V10" s="92"/>
      <c r="W10" s="117" t="s">
        <v>84</v>
      </c>
      <c r="X10" s="98" cm="1">
        <f t="array" aca="1" ref="X10" ca="1">WORKDAY(timeline_start,scroll_incremental)</f>
        <v>45691</v>
      </c>
      <c r="Y10" s="98">
        <f ca="1">WORKDAY(X10,1)</f>
        <v>45692</v>
      </c>
      <c r="Z10" s="98">
        <f t="shared" ref="Z10:BN10" ca="1" si="0">WORKDAY(Y10,1)</f>
        <v>45693</v>
      </c>
      <c r="AA10" s="98">
        <f t="shared" ca="1" si="0"/>
        <v>45694</v>
      </c>
      <c r="AB10" s="98">
        <f t="shared" ca="1" si="0"/>
        <v>45695</v>
      </c>
      <c r="AC10" s="98">
        <f t="shared" ca="1" si="0"/>
        <v>45698</v>
      </c>
      <c r="AD10" s="98">
        <f t="shared" ca="1" si="0"/>
        <v>45699</v>
      </c>
      <c r="AE10" s="98">
        <f t="shared" ca="1" si="0"/>
        <v>45700</v>
      </c>
      <c r="AF10" s="98">
        <f t="shared" ca="1" si="0"/>
        <v>45701</v>
      </c>
      <c r="AG10" s="98">
        <f t="shared" ca="1" si="0"/>
        <v>45702</v>
      </c>
      <c r="AH10" s="98">
        <f t="shared" ca="1" si="0"/>
        <v>45705</v>
      </c>
      <c r="AI10" s="98">
        <f t="shared" ca="1" si="0"/>
        <v>45706</v>
      </c>
      <c r="AJ10" s="98">
        <f t="shared" ca="1" si="0"/>
        <v>45707</v>
      </c>
      <c r="AK10" s="98">
        <f t="shared" ca="1" si="0"/>
        <v>45708</v>
      </c>
      <c r="AL10" s="98">
        <f t="shared" ca="1" si="0"/>
        <v>45709</v>
      </c>
      <c r="AM10" s="98">
        <f t="shared" ca="1" si="0"/>
        <v>45712</v>
      </c>
      <c r="AN10" s="98">
        <f t="shared" ca="1" si="0"/>
        <v>45713</v>
      </c>
      <c r="AO10" s="98">
        <f t="shared" ca="1" si="0"/>
        <v>45714</v>
      </c>
      <c r="AP10" s="98">
        <f t="shared" ca="1" si="0"/>
        <v>45715</v>
      </c>
      <c r="AQ10" s="98">
        <f t="shared" ca="1" si="0"/>
        <v>45716</v>
      </c>
      <c r="AR10" s="98">
        <f t="shared" ca="1" si="0"/>
        <v>45719</v>
      </c>
      <c r="AS10" s="98">
        <f t="shared" ca="1" si="0"/>
        <v>45720</v>
      </c>
      <c r="AT10" s="98">
        <f t="shared" ca="1" si="0"/>
        <v>45721</v>
      </c>
      <c r="AU10" s="98">
        <f t="shared" ca="1" si="0"/>
        <v>45722</v>
      </c>
      <c r="AV10" s="98">
        <f t="shared" ca="1" si="0"/>
        <v>45723</v>
      </c>
      <c r="AW10" s="98">
        <f t="shared" ca="1" si="0"/>
        <v>45726</v>
      </c>
      <c r="AX10" s="98">
        <f t="shared" ca="1" si="0"/>
        <v>45727</v>
      </c>
      <c r="AY10" s="98">
        <f t="shared" ca="1" si="0"/>
        <v>45728</v>
      </c>
      <c r="AZ10" s="98">
        <f t="shared" ca="1" si="0"/>
        <v>45729</v>
      </c>
      <c r="BA10" s="98">
        <f t="shared" ca="1" si="0"/>
        <v>45730</v>
      </c>
      <c r="BB10" s="98">
        <f t="shared" ca="1" si="0"/>
        <v>45733</v>
      </c>
      <c r="BC10" s="98">
        <f t="shared" ca="1" si="0"/>
        <v>45734</v>
      </c>
      <c r="BD10" s="98">
        <f t="shared" ca="1" si="0"/>
        <v>45735</v>
      </c>
      <c r="BE10" s="98">
        <f t="shared" ca="1" si="0"/>
        <v>45736</v>
      </c>
      <c r="BF10" s="98">
        <f t="shared" ca="1" si="0"/>
        <v>45737</v>
      </c>
      <c r="BG10" s="98">
        <f t="shared" ca="1" si="0"/>
        <v>45740</v>
      </c>
      <c r="BH10" s="98">
        <f t="shared" ca="1" si="0"/>
        <v>45741</v>
      </c>
      <c r="BI10" s="98">
        <f t="shared" ca="1" si="0"/>
        <v>45742</v>
      </c>
      <c r="BJ10" s="98">
        <f t="shared" ca="1" si="0"/>
        <v>45743</v>
      </c>
      <c r="BK10" s="98">
        <f t="shared" ca="1" si="0"/>
        <v>45744</v>
      </c>
      <c r="BL10" s="98">
        <f t="shared" ca="1" si="0"/>
        <v>45747</v>
      </c>
      <c r="BM10" s="98">
        <f t="shared" ca="1" si="0"/>
        <v>45748</v>
      </c>
      <c r="BN10" s="98">
        <f t="shared" ca="1" si="0"/>
        <v>45749</v>
      </c>
    </row>
    <row r="11" spans="1:66">
      <c r="K11" s="95" t="s">
        <v>8</v>
      </c>
      <c r="L11" s="93"/>
      <c r="M11" s="93"/>
      <c r="N11" s="93"/>
      <c r="O11" s="93"/>
      <c r="P11" s="93"/>
      <c r="Q11" s="93"/>
      <c r="R11" s="93"/>
      <c r="S11" s="93"/>
      <c r="T11" s="93"/>
      <c r="U11" s="93" t="s">
        <v>9</v>
      </c>
      <c r="V11" s="94"/>
      <c r="W11" s="117">
        <v>0</v>
      </c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</row>
    <row r="12" spans="1:66" s="4" customFormat="1" ht="13.8">
      <c r="B12" s="87" t="s">
        <v>4</v>
      </c>
      <c r="C12" s="87"/>
      <c r="D12" s="87"/>
      <c r="E12" s="88" t="s">
        <v>5</v>
      </c>
      <c r="F12" s="89"/>
      <c r="G12" s="89"/>
      <c r="H12" s="89"/>
      <c r="I12" s="89"/>
      <c r="J12" s="90"/>
      <c r="K12" s="108">
        <v>45707</v>
      </c>
      <c r="L12" s="97"/>
      <c r="M12" s="97"/>
      <c r="N12" s="97"/>
      <c r="O12" s="97"/>
      <c r="P12" s="97"/>
      <c r="Q12" s="97"/>
      <c r="R12" s="97"/>
      <c r="S12" s="97"/>
      <c r="T12" s="97"/>
      <c r="U12" s="113">
        <v>45707</v>
      </c>
      <c r="V12" s="96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</row>
    <row r="13" spans="1:66" s="5" customFormat="1" ht="33" customHeight="1">
      <c r="A13" s="75"/>
      <c r="B13" s="15" t="s">
        <v>10</v>
      </c>
      <c r="C13" s="10" t="s">
        <v>11</v>
      </c>
      <c r="D13" s="16" t="s">
        <v>12</v>
      </c>
      <c r="E13" s="19" t="s">
        <v>13</v>
      </c>
      <c r="F13" s="7" t="s">
        <v>14</v>
      </c>
      <c r="G13" s="11"/>
      <c r="H13" s="12" t="s">
        <v>15</v>
      </c>
      <c r="I13" s="13" t="s">
        <v>16</v>
      </c>
      <c r="J13" s="20" t="s">
        <v>44</v>
      </c>
      <c r="K13" s="21" t="s">
        <v>20</v>
      </c>
      <c r="L13" s="22" t="s">
        <v>21</v>
      </c>
      <c r="M13" s="21" t="s">
        <v>22</v>
      </c>
      <c r="N13" s="99" t="s">
        <v>23</v>
      </c>
      <c r="O13" s="100"/>
      <c r="P13" s="14" t="s">
        <v>24</v>
      </c>
      <c r="Q13" s="22" t="s">
        <v>25</v>
      </c>
      <c r="R13" s="23" t="s">
        <v>19</v>
      </c>
      <c r="S13" s="15" t="s">
        <v>17</v>
      </c>
      <c r="T13" s="24" t="s">
        <v>18</v>
      </c>
      <c r="U13" s="25" t="s">
        <v>17</v>
      </c>
      <c r="V13" s="26" t="s">
        <v>18</v>
      </c>
      <c r="W13" s="27" t="s">
        <v>26</v>
      </c>
      <c r="X13" s="41" t="str">
        <f ca="1">LEFT(TEXT(X10,"ddd"),1)</f>
        <v>M</v>
      </c>
      <c r="Y13" s="41" t="str">
        <f t="shared" ref="Y13:BN13" ca="1" si="1">LEFT(TEXT(Y10,"ddd"),1)</f>
        <v>T</v>
      </c>
      <c r="Z13" s="41" t="str">
        <f t="shared" ca="1" si="1"/>
        <v>W</v>
      </c>
      <c r="AA13" s="41" t="str">
        <f t="shared" ca="1" si="1"/>
        <v>T</v>
      </c>
      <c r="AB13" s="41" t="str">
        <f t="shared" ca="1" si="1"/>
        <v>F</v>
      </c>
      <c r="AC13" s="41" t="str">
        <f t="shared" ca="1" si="1"/>
        <v>M</v>
      </c>
      <c r="AD13" s="41" t="str">
        <f t="shared" ca="1" si="1"/>
        <v>T</v>
      </c>
      <c r="AE13" s="41" t="str">
        <f t="shared" ca="1" si="1"/>
        <v>W</v>
      </c>
      <c r="AF13" s="41" t="str">
        <f t="shared" ca="1" si="1"/>
        <v>T</v>
      </c>
      <c r="AG13" s="41" t="str">
        <f t="shared" ca="1" si="1"/>
        <v>F</v>
      </c>
      <c r="AH13" s="41" t="str">
        <f t="shared" ca="1" si="1"/>
        <v>M</v>
      </c>
      <c r="AI13" s="41" t="str">
        <f t="shared" ca="1" si="1"/>
        <v>T</v>
      </c>
      <c r="AJ13" s="41" t="str">
        <f t="shared" ca="1" si="1"/>
        <v>W</v>
      </c>
      <c r="AK13" s="41" t="str">
        <f t="shared" ca="1" si="1"/>
        <v>T</v>
      </c>
      <c r="AL13" s="41" t="str">
        <f t="shared" ca="1" si="1"/>
        <v>F</v>
      </c>
      <c r="AM13" s="41" t="str">
        <f t="shared" ca="1" si="1"/>
        <v>M</v>
      </c>
      <c r="AN13" s="41" t="str">
        <f t="shared" ca="1" si="1"/>
        <v>T</v>
      </c>
      <c r="AO13" s="41" t="str">
        <f t="shared" ca="1" si="1"/>
        <v>W</v>
      </c>
      <c r="AP13" s="41" t="str">
        <f t="shared" ca="1" si="1"/>
        <v>T</v>
      </c>
      <c r="AQ13" s="41" t="str">
        <f t="shared" ca="1" si="1"/>
        <v>F</v>
      </c>
      <c r="AR13" s="41" t="str">
        <f t="shared" ca="1" si="1"/>
        <v>M</v>
      </c>
      <c r="AS13" s="41" t="str">
        <f t="shared" ca="1" si="1"/>
        <v>T</v>
      </c>
      <c r="AT13" s="41" t="str">
        <f t="shared" ca="1" si="1"/>
        <v>W</v>
      </c>
      <c r="AU13" s="41" t="str">
        <f t="shared" ca="1" si="1"/>
        <v>T</v>
      </c>
      <c r="AV13" s="41" t="str">
        <f t="shared" ca="1" si="1"/>
        <v>F</v>
      </c>
      <c r="AW13" s="41" t="str">
        <f t="shared" ca="1" si="1"/>
        <v>M</v>
      </c>
      <c r="AX13" s="41" t="str">
        <f t="shared" ca="1" si="1"/>
        <v>T</v>
      </c>
      <c r="AY13" s="41" t="str">
        <f t="shared" ca="1" si="1"/>
        <v>W</v>
      </c>
      <c r="AZ13" s="41" t="str">
        <f t="shared" ca="1" si="1"/>
        <v>T</v>
      </c>
      <c r="BA13" s="41" t="str">
        <f t="shared" ca="1" si="1"/>
        <v>F</v>
      </c>
      <c r="BB13" s="41" t="str">
        <f t="shared" ca="1" si="1"/>
        <v>M</v>
      </c>
      <c r="BC13" s="41" t="str">
        <f t="shared" ca="1" si="1"/>
        <v>T</v>
      </c>
      <c r="BD13" s="41" t="str">
        <f t="shared" ca="1" si="1"/>
        <v>W</v>
      </c>
      <c r="BE13" s="41" t="str">
        <f t="shared" ca="1" si="1"/>
        <v>T</v>
      </c>
      <c r="BF13" s="41" t="str">
        <f t="shared" ca="1" si="1"/>
        <v>F</v>
      </c>
      <c r="BG13" s="41" t="str">
        <f t="shared" ca="1" si="1"/>
        <v>M</v>
      </c>
      <c r="BH13" s="41" t="str">
        <f t="shared" ca="1" si="1"/>
        <v>T</v>
      </c>
      <c r="BI13" s="41" t="str">
        <f t="shared" ca="1" si="1"/>
        <v>W</v>
      </c>
      <c r="BJ13" s="41" t="str">
        <f t="shared" ca="1" si="1"/>
        <v>T</v>
      </c>
      <c r="BK13" s="41" t="str">
        <f t="shared" ca="1" si="1"/>
        <v>F</v>
      </c>
      <c r="BL13" s="41" t="str">
        <f t="shared" ca="1" si="1"/>
        <v>M</v>
      </c>
      <c r="BM13" s="41" t="str">
        <f t="shared" ca="1" si="1"/>
        <v>T</v>
      </c>
      <c r="BN13" s="41" t="str">
        <f t="shared" ca="1" si="1"/>
        <v>W</v>
      </c>
    </row>
    <row r="14" spans="1:66" ht="7.2" customHeight="1">
      <c r="B14" s="28"/>
      <c r="C14" s="29"/>
      <c r="D14" s="30"/>
      <c r="E14" s="28"/>
      <c r="F14" s="29"/>
      <c r="H14" s="29"/>
      <c r="I14" s="29"/>
      <c r="J14" s="30"/>
      <c r="K14" s="28"/>
      <c r="L14" s="30"/>
      <c r="M14" s="28"/>
      <c r="N14" s="29"/>
      <c r="O14" s="29"/>
      <c r="P14" s="29"/>
      <c r="Q14" s="30"/>
      <c r="R14" s="31"/>
      <c r="S14" s="28"/>
      <c r="T14" s="30"/>
      <c r="U14" s="28"/>
      <c r="V14" s="30"/>
      <c r="W14" s="31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</row>
    <row r="15" spans="1:66" s="36" customFormat="1" ht="13.8">
      <c r="A15" s="77"/>
      <c r="B15" s="42">
        <f t="shared" ref="B15:B35" si="2">IF(ROW(id)=ROW($B$13)+2,1,MAX(prev_col_range)+1)</f>
        <v>1</v>
      </c>
      <c r="C15" s="76">
        <f>IF(type&lt;&gt;"",IF(ROW(stage_id)=ROW($C$13)+2,1,IF(type="S",MAX(prev_col_range)+1,MAX(prev_col_range))),-1)</f>
        <v>1</v>
      </c>
      <c r="D15" s="78">
        <f>_xlfn.IFNA(IF(OR(type="T",type="M"),MATCH(role,Settings!$I$9:$I$16,0),-1),-1)</f>
        <v>-1</v>
      </c>
      <c r="E15" s="47" t="s">
        <v>37</v>
      </c>
      <c r="F15" s="43" t="s">
        <v>38</v>
      </c>
      <c r="H15" s="61" t="str" cm="1">
        <f t="array" ref="H15">_xlfn.IFNA(INDEX(Settings!$P$9:$P$30,MATCH(team_member,Settings!$N$9:$N$30,0),),"")</f>
        <v/>
      </c>
      <c r="I15" s="43"/>
      <c r="J15" s="48" t="s">
        <v>44</v>
      </c>
      <c r="K15" s="66">
        <f>MIN(S16:S19)</f>
        <v>45693</v>
      </c>
      <c r="L15" s="67"/>
      <c r="M15" s="47"/>
      <c r="N15" s="71" t="str">
        <f t="shared" ref="N15:N35" si="3">IF(d.id&lt;&gt;"",IF(d.id&lt;id,"↖",IF(d.id&gt;id,"↙","")),"")</f>
        <v/>
      </c>
      <c r="O15" s="72" t="str" cm="1">
        <f t="array" ref="O15">IFERROR("(" &amp;d.type&amp; ")" &amp; IF(LEN(d.name)&gt;7,LEFT(d.name,7) &amp; "…",d.name),"")</f>
        <v/>
      </c>
      <c r="P15" s="70" t="s">
        <v>67</v>
      </c>
      <c r="Q15" s="73"/>
      <c r="R15" s="64">
        <f>NETWORKDAYS(plan_start, MAX(T16:T19),)</f>
        <v>10</v>
      </c>
      <c r="S15" s="62" cm="1">
        <f t="array" ref="S15">IFERROR(IF(ind.start&gt;0,ind.start,IF(ind.end&lt;&gt;"",plan_start_calculation,IF(d.id&lt;&gt;"",IF(OR(d.conn="FS",d.conn=""),fs_calculation,IF(d.conn="SS",ss_calculation,plan_start_calculation)),""))),"")</f>
        <v>45693</v>
      </c>
      <c r="T15" s="63" cm="1">
        <f t="array" ref="T15">IFERROR(IF(ind.start&lt;&gt;"",plan_end_calculation,IF(ind.end&lt;&gt;"",ind.end,IF(d.id&lt;&gt;"",IF(d.conn="SF",sf_calculation,IF(d.conn="FF",ff_calculation,plan_end_calculation)),""))),"")</f>
        <v>45706</v>
      </c>
      <c r="U15" s="109">
        <v>45674</v>
      </c>
      <c r="V15" s="110">
        <v>45687</v>
      </c>
      <c r="W15" s="114" cm="1">
        <f t="array" ref="W15">SUM(W16:W19*R16:R19)/SUM(R16:R19)</f>
        <v>0.45999999999999996</v>
      </c>
      <c r="X15" s="115">
        <v>0</v>
      </c>
      <c r="Y15" s="115">
        <v>0</v>
      </c>
      <c r="Z15" s="115">
        <v>0</v>
      </c>
      <c r="AA15" s="115">
        <v>0</v>
      </c>
      <c r="AB15" s="115">
        <v>0</v>
      </c>
      <c r="AC15" s="115">
        <v>0</v>
      </c>
      <c r="AD15" s="115">
        <v>0</v>
      </c>
      <c r="AE15" s="115">
        <v>0</v>
      </c>
      <c r="AF15" s="115">
        <v>0</v>
      </c>
      <c r="AG15" s="115">
        <v>0</v>
      </c>
      <c r="AH15" s="115">
        <v>0</v>
      </c>
      <c r="AI15" s="115">
        <v>0</v>
      </c>
      <c r="AJ15" s="115">
        <v>0</v>
      </c>
      <c r="AK15" s="115">
        <v>0</v>
      </c>
      <c r="AL15" s="115">
        <v>0</v>
      </c>
      <c r="AM15" s="115">
        <v>0</v>
      </c>
      <c r="AN15" s="115">
        <v>0</v>
      </c>
      <c r="AO15" s="115">
        <v>0</v>
      </c>
      <c r="AP15" s="115">
        <v>0</v>
      </c>
      <c r="AQ15" s="115">
        <v>0</v>
      </c>
      <c r="AR15" s="115">
        <v>0</v>
      </c>
      <c r="AS15" s="115">
        <v>0</v>
      </c>
      <c r="AT15" s="115">
        <v>0</v>
      </c>
      <c r="AU15" s="115">
        <v>0</v>
      </c>
      <c r="AV15" s="115">
        <v>0</v>
      </c>
      <c r="AW15" s="115">
        <v>0</v>
      </c>
      <c r="AX15" s="115">
        <v>0</v>
      </c>
      <c r="AY15" s="115">
        <v>0</v>
      </c>
      <c r="AZ15" s="115">
        <v>0</v>
      </c>
      <c r="BA15" s="115">
        <v>0</v>
      </c>
      <c r="BB15" s="115">
        <v>0</v>
      </c>
      <c r="BC15" s="115">
        <v>0</v>
      </c>
      <c r="BD15" s="115">
        <v>0</v>
      </c>
      <c r="BE15" s="115">
        <v>0</v>
      </c>
      <c r="BF15" s="115">
        <v>0</v>
      </c>
      <c r="BG15" s="115">
        <v>0</v>
      </c>
      <c r="BH15" s="115">
        <v>0</v>
      </c>
      <c r="BI15" s="115">
        <v>0</v>
      </c>
      <c r="BJ15" s="115">
        <v>0</v>
      </c>
      <c r="BK15" s="115">
        <v>0</v>
      </c>
      <c r="BL15" s="115">
        <v>0</v>
      </c>
      <c r="BM15" s="115">
        <v>0</v>
      </c>
      <c r="BN15" s="115">
        <v>0</v>
      </c>
    </row>
    <row r="16" spans="1:66" s="36" customFormat="1" ht="13.8">
      <c r="A16" s="77"/>
      <c r="B16" s="42">
        <f t="shared" si="2"/>
        <v>2</v>
      </c>
      <c r="C16" s="76">
        <f>IF(type&lt;&gt;"",IF(ROW(stage_id)=ROW($C$13)+2,1,IF(type="S",MAX(prev_col_range)+1,MAX(prev_col_range))),-1)</f>
        <v>1</v>
      </c>
      <c r="D16" s="78">
        <f>_xlfn.IFNA(IF(OR(type="T",type="M"),MATCH(role,Settings!$I$9:$I$16,0),-1),-1)</f>
        <v>2</v>
      </c>
      <c r="E16" s="47" t="s">
        <v>39</v>
      </c>
      <c r="F16" s="43" t="s">
        <v>64</v>
      </c>
      <c r="H16" s="61" t="str" cm="1">
        <f t="array" ref="H16">_xlfn.IFNA(INDEX(Settings!$P$9:$P$30,MATCH(team_member,Settings!$N$9:$N$30,0),),"")</f>
        <v>COD</v>
      </c>
      <c r="I16" s="43" t="s">
        <v>33</v>
      </c>
      <c r="J16" s="44"/>
      <c r="K16" s="66">
        <v>45693</v>
      </c>
      <c r="L16" s="67"/>
      <c r="M16" s="47"/>
      <c r="N16" s="71" t="str">
        <f t="shared" si="3"/>
        <v/>
      </c>
      <c r="O16" s="72" t="str" cm="1">
        <f t="array" ref="O16">IFERROR("(" &amp;d.type&amp; ")" &amp; IF(LEN(d.name)&gt;7,LEFT(d.name,7) &amp; "…",d.name),"")</f>
        <v/>
      </c>
      <c r="P16" s="70" t="s">
        <v>67</v>
      </c>
      <c r="Q16" s="73"/>
      <c r="R16" s="64">
        <v>5</v>
      </c>
      <c r="S16" s="62" cm="1">
        <f t="array" ref="S16">IFERROR(IF(ind.start&gt;0,ind.start,IF(ind.end&lt;&gt;"",plan_start_calculation,IF(d.id&lt;&gt;"",IF(OR(d.conn="FS",d.conn=""),fs_calculation,IF(d.conn="SS",ss_calculation,plan_start_calculation)),""))),"")</f>
        <v>45693</v>
      </c>
      <c r="T16" s="63" cm="1">
        <f t="array" ref="T16">IFERROR(IF(ind.start&lt;&gt;"",plan_end_calculation,IF(ind.end&lt;&gt;"",ind.end,IF(d.id&lt;&gt;"",IF(d.conn="SF",sf_calculation,IF(d.conn="FF",ff_calculation,plan_end_calculation)),""))),"")</f>
        <v>45699</v>
      </c>
      <c r="U16" s="109">
        <v>45674</v>
      </c>
      <c r="V16" s="110">
        <v>45680</v>
      </c>
      <c r="W16" s="114">
        <v>0.5</v>
      </c>
      <c r="X16" s="115">
        <v>0</v>
      </c>
      <c r="Y16" s="115">
        <v>0</v>
      </c>
      <c r="Z16" s="115">
        <v>0</v>
      </c>
      <c r="AA16" s="115">
        <v>0</v>
      </c>
      <c r="AB16" s="115">
        <v>0</v>
      </c>
      <c r="AC16" s="115">
        <v>0</v>
      </c>
      <c r="AD16" s="115">
        <v>0</v>
      </c>
      <c r="AE16" s="115">
        <v>0</v>
      </c>
      <c r="AF16" s="115">
        <v>0</v>
      </c>
      <c r="AG16" s="115">
        <v>0</v>
      </c>
      <c r="AH16" s="115">
        <v>0</v>
      </c>
      <c r="AI16" s="115">
        <v>0</v>
      </c>
      <c r="AJ16" s="115">
        <v>0</v>
      </c>
      <c r="AK16" s="115">
        <v>0</v>
      </c>
      <c r="AL16" s="115">
        <v>0</v>
      </c>
      <c r="AM16" s="115">
        <v>0</v>
      </c>
      <c r="AN16" s="115">
        <v>0</v>
      </c>
      <c r="AO16" s="115">
        <v>0</v>
      </c>
      <c r="AP16" s="115">
        <v>0</v>
      </c>
      <c r="AQ16" s="115">
        <v>0</v>
      </c>
      <c r="AR16" s="115">
        <v>0</v>
      </c>
      <c r="AS16" s="115">
        <v>0</v>
      </c>
      <c r="AT16" s="115">
        <v>0</v>
      </c>
      <c r="AU16" s="115">
        <v>0</v>
      </c>
      <c r="AV16" s="115">
        <v>0</v>
      </c>
      <c r="AW16" s="115">
        <v>0</v>
      </c>
      <c r="AX16" s="115">
        <v>0</v>
      </c>
      <c r="AY16" s="115">
        <v>0</v>
      </c>
      <c r="AZ16" s="115">
        <v>0</v>
      </c>
      <c r="BA16" s="115">
        <v>0</v>
      </c>
      <c r="BB16" s="115">
        <v>0</v>
      </c>
      <c r="BC16" s="115">
        <v>0</v>
      </c>
      <c r="BD16" s="115">
        <v>0</v>
      </c>
      <c r="BE16" s="115">
        <v>0</v>
      </c>
      <c r="BF16" s="115">
        <v>0</v>
      </c>
      <c r="BG16" s="115">
        <v>0</v>
      </c>
      <c r="BH16" s="115">
        <v>0</v>
      </c>
      <c r="BI16" s="115">
        <v>0</v>
      </c>
      <c r="BJ16" s="115">
        <v>0</v>
      </c>
      <c r="BK16" s="115">
        <v>0</v>
      </c>
      <c r="BL16" s="115">
        <v>0</v>
      </c>
      <c r="BM16" s="115">
        <v>0</v>
      </c>
      <c r="BN16" s="115">
        <v>0</v>
      </c>
    </row>
    <row r="17" spans="1:66" s="36" customFormat="1" ht="13.8">
      <c r="A17" s="77"/>
      <c r="B17" s="42">
        <f t="shared" si="2"/>
        <v>3</v>
      </c>
      <c r="C17" s="76">
        <f>IF(type&lt;&gt;"",IF(ROW(stage_id)=ROW($C$13)+2,1,IF(type="S",MAX(prev_col_range)+1,MAX(prev_col_range))),-1)</f>
        <v>1</v>
      </c>
      <c r="D17" s="78">
        <f>_xlfn.IFNA(IF(OR(type="T",type="M"),MATCH(role,Settings!$I$9:$I$16,0),-1),-1)</f>
        <v>1</v>
      </c>
      <c r="E17" s="47" t="s">
        <v>39</v>
      </c>
      <c r="F17" s="43" t="s">
        <v>65</v>
      </c>
      <c r="H17" s="61" t="str" cm="1">
        <f t="array" ref="H17">_xlfn.IFNA(INDEX(Settings!$P$9:$P$30,MATCH(team_member,Settings!$N$9:$N$30,0),),"")</f>
        <v>PM</v>
      </c>
      <c r="I17" s="43" t="s">
        <v>60</v>
      </c>
      <c r="J17" s="44" t="s">
        <v>44</v>
      </c>
      <c r="K17" s="66"/>
      <c r="L17" s="67"/>
      <c r="M17" s="47">
        <f>B16</f>
        <v>2</v>
      </c>
      <c r="N17" s="71" t="str">
        <f t="shared" si="3"/>
        <v>↖</v>
      </c>
      <c r="O17" s="72" t="str" cm="1">
        <f t="array" ref="O17">IFERROR("(" &amp;d.type&amp; ")" &amp; IF(LEN(d.name)&gt;7,LEFT(d.name,7) &amp; "…",d.name),"")</f>
        <v>(T)Task P1</v>
      </c>
      <c r="P17" s="70" t="s">
        <v>67</v>
      </c>
      <c r="Q17" s="73"/>
      <c r="R17" s="64">
        <v>3</v>
      </c>
      <c r="S17" s="62" cm="1">
        <f t="array" ref="S17">IFERROR(IF(ind.start&gt;0,ind.start,IF(ind.end&lt;&gt;"",plan_start_calculation,IF(d.id&lt;&gt;"",IF(OR(d.conn="FS",d.conn=""),fs_calculation,IF(d.conn="SS",ss_calculation,plan_start_calculation)),""))),"")</f>
        <v>45700</v>
      </c>
      <c r="T17" s="63" cm="1">
        <f t="array" ref="T17">IFERROR(IF(ind.start&lt;&gt;"",plan_end_calculation,IF(ind.end&lt;&gt;"",ind.end,IF(d.id&lt;&gt;"",IF(d.conn="SF",sf_calculation,IF(d.conn="FF",ff_calculation,plan_end_calculation)),""))),"")</f>
        <v>45702</v>
      </c>
      <c r="U17" s="109">
        <v>45681</v>
      </c>
      <c r="V17" s="110">
        <v>45685</v>
      </c>
      <c r="W17" s="114">
        <v>0.1</v>
      </c>
      <c r="X17" s="115">
        <v>0</v>
      </c>
      <c r="Y17" s="115">
        <v>0</v>
      </c>
      <c r="Z17" s="115">
        <v>0</v>
      </c>
      <c r="AA17" s="115">
        <v>0</v>
      </c>
      <c r="AB17" s="115">
        <v>0</v>
      </c>
      <c r="AC17" s="115">
        <v>0</v>
      </c>
      <c r="AD17" s="115">
        <v>0</v>
      </c>
      <c r="AE17" s="115">
        <v>0</v>
      </c>
      <c r="AF17" s="115">
        <v>0</v>
      </c>
      <c r="AG17" s="115">
        <v>0</v>
      </c>
      <c r="AH17" s="115">
        <v>0</v>
      </c>
      <c r="AI17" s="115">
        <v>0</v>
      </c>
      <c r="AJ17" s="115">
        <v>0</v>
      </c>
      <c r="AK17" s="115">
        <v>0</v>
      </c>
      <c r="AL17" s="115">
        <v>0</v>
      </c>
      <c r="AM17" s="115">
        <v>0</v>
      </c>
      <c r="AN17" s="115">
        <v>0</v>
      </c>
      <c r="AO17" s="115">
        <v>0</v>
      </c>
      <c r="AP17" s="115">
        <v>0</v>
      </c>
      <c r="AQ17" s="115">
        <v>0</v>
      </c>
      <c r="AR17" s="115">
        <v>0</v>
      </c>
      <c r="AS17" s="115">
        <v>0</v>
      </c>
      <c r="AT17" s="115">
        <v>0</v>
      </c>
      <c r="AU17" s="115">
        <v>0</v>
      </c>
      <c r="AV17" s="115">
        <v>0</v>
      </c>
      <c r="AW17" s="115">
        <v>0</v>
      </c>
      <c r="AX17" s="115">
        <v>0</v>
      </c>
      <c r="AY17" s="115">
        <v>0</v>
      </c>
      <c r="AZ17" s="115">
        <v>0</v>
      </c>
      <c r="BA17" s="115">
        <v>0</v>
      </c>
      <c r="BB17" s="115">
        <v>0</v>
      </c>
      <c r="BC17" s="115">
        <v>0</v>
      </c>
      <c r="BD17" s="115">
        <v>0</v>
      </c>
      <c r="BE17" s="115">
        <v>0</v>
      </c>
      <c r="BF17" s="115">
        <v>0</v>
      </c>
      <c r="BG17" s="115">
        <v>0</v>
      </c>
      <c r="BH17" s="115">
        <v>0</v>
      </c>
      <c r="BI17" s="115">
        <v>0</v>
      </c>
      <c r="BJ17" s="115">
        <v>0</v>
      </c>
      <c r="BK17" s="115">
        <v>0</v>
      </c>
      <c r="BL17" s="115">
        <v>0</v>
      </c>
      <c r="BM17" s="115">
        <v>0</v>
      </c>
      <c r="BN17" s="115">
        <v>0</v>
      </c>
    </row>
    <row r="18" spans="1:66" s="36" customFormat="1" ht="13.8">
      <c r="A18" s="77"/>
      <c r="B18" s="42">
        <f t="shared" si="2"/>
        <v>4</v>
      </c>
      <c r="C18" s="76">
        <f>IF(type&lt;&gt;"",IF(ROW(stage_id)=ROW($C$13)+2,1,IF(type="S",MAX(prev_col_range)+1,MAX(prev_col_range))),-1)</f>
        <v>1</v>
      </c>
      <c r="D18" s="78">
        <f>_xlfn.IFNA(IF(OR(type="T",type="M"),MATCH(role,Settings!$I$9:$I$16,0),-1),-1)</f>
        <v>5</v>
      </c>
      <c r="E18" s="47" t="s">
        <v>39</v>
      </c>
      <c r="F18" s="43" t="s">
        <v>66</v>
      </c>
      <c r="H18" s="61" t="str" cm="1">
        <f t="array" ref="H18">_xlfn.IFNA(INDEX(Settings!$P$9:$P$30,MATCH(team_member,Settings!$N$9:$N$30,0),),"")</f>
        <v>FIN</v>
      </c>
      <c r="I18" s="43" t="s">
        <v>62</v>
      </c>
      <c r="J18" s="44" t="s">
        <v>44</v>
      </c>
      <c r="K18" s="66"/>
      <c r="L18" s="67"/>
      <c r="M18" s="47">
        <f>B17</f>
        <v>3</v>
      </c>
      <c r="N18" s="71" t="str">
        <f t="shared" si="3"/>
        <v>↖</v>
      </c>
      <c r="O18" s="72" t="str" cm="1">
        <f t="array" ref="O18">IFERROR("(" &amp;d.type&amp; ")" &amp; IF(LEN(d.name)&gt;7,LEFT(d.name,7) &amp; "…",d.name),"")</f>
        <v>(T)Task P2</v>
      </c>
      <c r="P18" s="70" t="s">
        <v>67</v>
      </c>
      <c r="Q18" s="73"/>
      <c r="R18" s="64">
        <v>2</v>
      </c>
      <c r="S18" s="62" cm="1">
        <f t="array" ref="S18">IFERROR(IF(ind.start&gt;0,ind.start,IF(ind.end&lt;&gt;"",plan_start_calculation,IF(d.id&lt;&gt;"",IF(OR(d.conn="FS",d.conn=""),fs_calculation,IF(d.conn="SS",ss_calculation,plan_start_calculation)),""))),"")</f>
        <v>45705</v>
      </c>
      <c r="T18" s="63" cm="1">
        <f t="array" ref="T18">IFERROR(IF(ind.start&lt;&gt;"",plan_end_calculation,IF(ind.end&lt;&gt;"",ind.end,IF(d.id&lt;&gt;"",IF(d.conn="SF",sf_calculation,IF(d.conn="FF",ff_calculation,plan_end_calculation)),""))),"")</f>
        <v>45706</v>
      </c>
      <c r="U18" s="109">
        <v>45686</v>
      </c>
      <c r="V18" s="110">
        <v>45687</v>
      </c>
      <c r="W18" s="114">
        <v>0.9</v>
      </c>
      <c r="X18" s="115">
        <v>0</v>
      </c>
      <c r="Y18" s="115">
        <v>0</v>
      </c>
      <c r="Z18" s="115">
        <v>0</v>
      </c>
      <c r="AA18" s="115">
        <v>0</v>
      </c>
      <c r="AB18" s="115">
        <v>0</v>
      </c>
      <c r="AC18" s="115">
        <v>0</v>
      </c>
      <c r="AD18" s="115">
        <v>0</v>
      </c>
      <c r="AE18" s="115">
        <v>0</v>
      </c>
      <c r="AF18" s="115">
        <v>0</v>
      </c>
      <c r="AG18" s="115">
        <v>0</v>
      </c>
      <c r="AH18" s="115">
        <v>0</v>
      </c>
      <c r="AI18" s="115">
        <v>0</v>
      </c>
      <c r="AJ18" s="115">
        <v>0</v>
      </c>
      <c r="AK18" s="115">
        <v>0</v>
      </c>
      <c r="AL18" s="115">
        <v>0</v>
      </c>
      <c r="AM18" s="115">
        <v>0</v>
      </c>
      <c r="AN18" s="115">
        <v>0</v>
      </c>
      <c r="AO18" s="115">
        <v>0</v>
      </c>
      <c r="AP18" s="115">
        <v>0</v>
      </c>
      <c r="AQ18" s="115">
        <v>0</v>
      </c>
      <c r="AR18" s="115">
        <v>0</v>
      </c>
      <c r="AS18" s="115">
        <v>0</v>
      </c>
      <c r="AT18" s="115">
        <v>0</v>
      </c>
      <c r="AU18" s="115">
        <v>0</v>
      </c>
      <c r="AV18" s="115">
        <v>0</v>
      </c>
      <c r="AW18" s="115">
        <v>0</v>
      </c>
      <c r="AX18" s="115">
        <v>0</v>
      </c>
      <c r="AY18" s="115">
        <v>0</v>
      </c>
      <c r="AZ18" s="115">
        <v>0</v>
      </c>
      <c r="BA18" s="115">
        <v>0</v>
      </c>
      <c r="BB18" s="115">
        <v>0</v>
      </c>
      <c r="BC18" s="115">
        <v>0</v>
      </c>
      <c r="BD18" s="115">
        <v>0</v>
      </c>
      <c r="BE18" s="115">
        <v>0</v>
      </c>
      <c r="BF18" s="115">
        <v>0</v>
      </c>
      <c r="BG18" s="115">
        <v>0</v>
      </c>
      <c r="BH18" s="115">
        <v>0</v>
      </c>
      <c r="BI18" s="115">
        <v>0</v>
      </c>
      <c r="BJ18" s="115">
        <v>0</v>
      </c>
      <c r="BK18" s="115">
        <v>0</v>
      </c>
      <c r="BL18" s="115">
        <v>0</v>
      </c>
      <c r="BM18" s="115">
        <v>0</v>
      </c>
      <c r="BN18" s="115">
        <v>0</v>
      </c>
    </row>
    <row r="19" spans="1:66" s="36" customFormat="1" ht="13.8">
      <c r="A19" s="77"/>
      <c r="B19" s="42">
        <f t="shared" si="2"/>
        <v>5</v>
      </c>
      <c r="C19" s="76">
        <f>IF(type&lt;&gt;"",IF(ROW(stage_id)=ROW($C$13)+2,1,IF(type="S",MAX(prev_col_range)+1,MAX(prev_col_range))),-1)</f>
        <v>1</v>
      </c>
      <c r="D19" s="78">
        <f>_xlfn.IFNA(IF(OR(type="T",type="M"),MATCH(role,Settings!$I$9:$I$16,0),-1),-1)</f>
        <v>1</v>
      </c>
      <c r="E19" s="47" t="s">
        <v>40</v>
      </c>
      <c r="F19" s="43" t="s">
        <v>43</v>
      </c>
      <c r="H19" s="61" t="str" cm="1">
        <f t="array" ref="H19">_xlfn.IFNA(INDEX(Settings!$P$9:$P$30,MATCH(team_member,Settings!$N$9:$N$30,0),),"")</f>
        <v>PM</v>
      </c>
      <c r="I19" s="43" t="s">
        <v>60</v>
      </c>
      <c r="J19" s="44"/>
      <c r="K19" s="66"/>
      <c r="L19" s="67"/>
      <c r="M19" s="47">
        <f>B18</f>
        <v>4</v>
      </c>
      <c r="N19" s="71" t="str">
        <f t="shared" si="3"/>
        <v>↖</v>
      </c>
      <c r="O19" s="72" t="str" cm="1">
        <f t="array" ref="O19">IFERROR("(" &amp;d.type&amp; ")" &amp; IF(LEN(d.name)&gt;7,LEFT(d.name,7) &amp; "…",d.name),"")</f>
        <v>(T)Task P3</v>
      </c>
      <c r="P19" s="70" t="s">
        <v>69</v>
      </c>
      <c r="Q19" s="73"/>
      <c r="R19" s="64"/>
      <c r="S19" s="62" cm="1">
        <f t="array" ref="S19">IFERROR(IF(ind.start&gt;0,ind.start,IF(ind.end&lt;&gt;"",plan_start_calculation,IF(d.id&lt;&gt;"",IF(OR(d.conn="FS",d.conn=""),fs_calculation,IF(d.conn="SS",ss_calculation,plan_start_calculation)),""))),"")</f>
        <v>45706</v>
      </c>
      <c r="T19" s="63" cm="1">
        <f t="array" ref="T19">IFERROR(IF(ind.start&lt;&gt;"",plan_end_calculation,IF(ind.end&lt;&gt;"",ind.end,IF(d.id&lt;&gt;"",IF(d.conn="SF",sf_calculation,IF(d.conn="FF",ff_calculation,plan_end_calculation)),""))),"")</f>
        <v>45706</v>
      </c>
      <c r="U19" s="109">
        <v>45687</v>
      </c>
      <c r="V19" s="110">
        <v>45687</v>
      </c>
      <c r="W19" s="114">
        <f>1*(SUM(W16:W18)=3)</f>
        <v>0</v>
      </c>
      <c r="X19" s="115">
        <v>0</v>
      </c>
      <c r="Y19" s="115">
        <v>0</v>
      </c>
      <c r="Z19" s="115">
        <v>0</v>
      </c>
      <c r="AA19" s="115">
        <v>0</v>
      </c>
      <c r="AB19" s="115">
        <v>0</v>
      </c>
      <c r="AC19" s="115">
        <v>0</v>
      </c>
      <c r="AD19" s="115">
        <v>0</v>
      </c>
      <c r="AE19" s="115">
        <v>0</v>
      </c>
      <c r="AF19" s="115">
        <v>0</v>
      </c>
      <c r="AG19" s="115">
        <v>0</v>
      </c>
      <c r="AH19" s="115">
        <v>0</v>
      </c>
      <c r="AI19" s="115">
        <v>0</v>
      </c>
      <c r="AJ19" s="115">
        <v>0</v>
      </c>
      <c r="AK19" s="115">
        <v>0</v>
      </c>
      <c r="AL19" s="115">
        <v>0</v>
      </c>
      <c r="AM19" s="115">
        <v>0</v>
      </c>
      <c r="AN19" s="115">
        <v>0</v>
      </c>
      <c r="AO19" s="115">
        <v>0</v>
      </c>
      <c r="AP19" s="115">
        <v>0</v>
      </c>
      <c r="AQ19" s="115">
        <v>0</v>
      </c>
      <c r="AR19" s="115">
        <v>0</v>
      </c>
      <c r="AS19" s="115">
        <v>0</v>
      </c>
      <c r="AT19" s="115">
        <v>0</v>
      </c>
      <c r="AU19" s="115">
        <v>0</v>
      </c>
      <c r="AV19" s="115">
        <v>0</v>
      </c>
      <c r="AW19" s="115">
        <v>0</v>
      </c>
      <c r="AX19" s="115">
        <v>0</v>
      </c>
      <c r="AY19" s="115">
        <v>0</v>
      </c>
      <c r="AZ19" s="115">
        <v>0</v>
      </c>
      <c r="BA19" s="115">
        <v>0</v>
      </c>
      <c r="BB19" s="115">
        <v>0</v>
      </c>
      <c r="BC19" s="115">
        <v>0</v>
      </c>
      <c r="BD19" s="115">
        <v>0</v>
      </c>
      <c r="BE19" s="115">
        <v>0</v>
      </c>
      <c r="BF19" s="115">
        <v>0</v>
      </c>
      <c r="BG19" s="115">
        <v>0</v>
      </c>
      <c r="BH19" s="115">
        <v>0</v>
      </c>
      <c r="BI19" s="115">
        <v>0</v>
      </c>
      <c r="BJ19" s="115">
        <v>0</v>
      </c>
      <c r="BK19" s="115">
        <v>0</v>
      </c>
      <c r="BL19" s="115">
        <v>0</v>
      </c>
      <c r="BM19" s="115">
        <v>0</v>
      </c>
      <c r="BN19" s="115">
        <v>0</v>
      </c>
    </row>
    <row r="20" spans="1:66" s="36" customFormat="1" ht="13.8">
      <c r="A20" s="77"/>
      <c r="B20" s="42">
        <f t="shared" si="2"/>
        <v>6</v>
      </c>
      <c r="C20" s="76">
        <f>IF(type&lt;&gt;"",IF(ROW(stage_id)=ROW($C$13)+2,1,IF(type="S",MAX(prev_col_range)+1,MAX(prev_col_range))),-1)</f>
        <v>2</v>
      </c>
      <c r="D20" s="78">
        <f>_xlfn.IFNA(IF(OR(type="T",type="M"),MATCH(role,Settings!$I$9:$I$16,0),-1),-1)</f>
        <v>-1</v>
      </c>
      <c r="E20" s="47" t="s">
        <v>37</v>
      </c>
      <c r="F20" s="43" t="s">
        <v>41</v>
      </c>
      <c r="H20" s="61" t="str" cm="1">
        <f t="array" ref="H20">_xlfn.IFNA(INDEX(Settings!$P$9:$P$30,MATCH(team_member,Settings!$N$9:$N$30,0),),"")</f>
        <v>MAR</v>
      </c>
      <c r="I20" s="43" t="s">
        <v>61</v>
      </c>
      <c r="J20" s="44"/>
      <c r="K20" s="66">
        <f>MIN(S21:S24)</f>
        <v>45707</v>
      </c>
      <c r="L20" s="67"/>
      <c r="M20" s="47"/>
      <c r="N20" s="71" t="str">
        <f t="shared" si="3"/>
        <v/>
      </c>
      <c r="O20" s="72" t="str" cm="1">
        <f t="array" ref="O20">IFERROR("(" &amp;d.type&amp; ")" &amp; IF(LEN(d.name)&gt;7,LEFT(d.name,7) &amp; "…",d.name),"")</f>
        <v/>
      </c>
      <c r="P20" s="70" t="s">
        <v>67</v>
      </c>
      <c r="Q20" s="73"/>
      <c r="R20" s="64">
        <f>NETWORKDAYS(plan_start, MAX(T21:T24),)</f>
        <v>10</v>
      </c>
      <c r="S20" s="62" cm="1">
        <f t="array" ref="S20">IFERROR(IF(ind.start&gt;0,ind.start,IF(ind.end&lt;&gt;"",plan_start_calculation,IF(d.id&lt;&gt;"",IF(OR(d.conn="FS",d.conn=""),fs_calculation,IF(d.conn="SS",ss_calculation,plan_start_calculation)),""))),"")</f>
        <v>45707</v>
      </c>
      <c r="T20" s="63" cm="1">
        <f t="array" ref="T20">IFERROR(IF(ind.start&lt;&gt;"",plan_end_calculation,IF(ind.end&lt;&gt;"",ind.end,IF(d.id&lt;&gt;"",IF(d.conn="SF",sf_calculation,IF(d.conn="FF",ff_calculation,plan_end_calculation)),""))),"")</f>
        <v>45720</v>
      </c>
      <c r="U20" s="109">
        <v>45688</v>
      </c>
      <c r="V20" s="110">
        <v>45701</v>
      </c>
      <c r="W20" s="114" cm="1">
        <f t="array" ref="W20">SUM(W21:W24*R21:R24)/SUM(R21:R24)</f>
        <v>0.13</v>
      </c>
      <c r="X20" s="115">
        <v>0</v>
      </c>
      <c r="Y20" s="115">
        <v>0</v>
      </c>
      <c r="Z20" s="115">
        <v>0</v>
      </c>
      <c r="AA20" s="115">
        <v>0</v>
      </c>
      <c r="AB20" s="115">
        <v>0</v>
      </c>
      <c r="AC20" s="115">
        <v>0</v>
      </c>
      <c r="AD20" s="115">
        <v>0</v>
      </c>
      <c r="AE20" s="115">
        <v>0</v>
      </c>
      <c r="AF20" s="115">
        <v>0</v>
      </c>
      <c r="AG20" s="115">
        <v>0</v>
      </c>
      <c r="AH20" s="115">
        <v>0</v>
      </c>
      <c r="AI20" s="115">
        <v>0</v>
      </c>
      <c r="AJ20" s="115">
        <v>0</v>
      </c>
      <c r="AK20" s="115">
        <v>0</v>
      </c>
      <c r="AL20" s="115">
        <v>0</v>
      </c>
      <c r="AM20" s="115">
        <v>0</v>
      </c>
      <c r="AN20" s="115">
        <v>0</v>
      </c>
      <c r="AO20" s="115">
        <v>0</v>
      </c>
      <c r="AP20" s="115">
        <v>0</v>
      </c>
      <c r="AQ20" s="115">
        <v>0</v>
      </c>
      <c r="AR20" s="115">
        <v>0</v>
      </c>
      <c r="AS20" s="115">
        <v>0</v>
      </c>
      <c r="AT20" s="115">
        <v>0</v>
      </c>
      <c r="AU20" s="115">
        <v>0</v>
      </c>
      <c r="AV20" s="115">
        <v>0</v>
      </c>
      <c r="AW20" s="115">
        <v>0</v>
      </c>
      <c r="AX20" s="115">
        <v>0</v>
      </c>
      <c r="AY20" s="115">
        <v>0</v>
      </c>
      <c r="AZ20" s="115">
        <v>0</v>
      </c>
      <c r="BA20" s="115">
        <v>0</v>
      </c>
      <c r="BB20" s="115">
        <v>0</v>
      </c>
      <c r="BC20" s="115">
        <v>0</v>
      </c>
      <c r="BD20" s="115">
        <v>0</v>
      </c>
      <c r="BE20" s="115">
        <v>0</v>
      </c>
      <c r="BF20" s="115">
        <v>0</v>
      </c>
      <c r="BG20" s="115">
        <v>0</v>
      </c>
      <c r="BH20" s="115">
        <v>0</v>
      </c>
      <c r="BI20" s="115">
        <v>0</v>
      </c>
      <c r="BJ20" s="115">
        <v>0</v>
      </c>
      <c r="BK20" s="115">
        <v>0</v>
      </c>
      <c r="BL20" s="115">
        <v>0</v>
      </c>
      <c r="BM20" s="115">
        <v>0</v>
      </c>
      <c r="BN20" s="115">
        <v>0</v>
      </c>
    </row>
    <row r="21" spans="1:66" s="36" customFormat="1" ht="13.8">
      <c r="A21" s="77"/>
      <c r="B21" s="42">
        <f t="shared" si="2"/>
        <v>7</v>
      </c>
      <c r="C21" s="76">
        <f>IF(type&lt;&gt;"",IF(ROW(stage_id)=ROW($C$13)+2,1,IF(type="S",MAX(prev_col_range)+1,MAX(prev_col_range))),-1)</f>
        <v>2</v>
      </c>
      <c r="D21" s="78">
        <f>_xlfn.IFNA(IF(OR(type="T",type="M"),MATCH(role,Settings!$I$9:$I$16,0),-1),-1)</f>
        <v>1</v>
      </c>
      <c r="E21" s="47" t="s">
        <v>39</v>
      </c>
      <c r="F21" s="43" t="s">
        <v>64</v>
      </c>
      <c r="H21" s="61" t="str" cm="1">
        <f t="array" ref="H21">_xlfn.IFNA(INDEX(Settings!$P$9:$P$30,MATCH(team_member,Settings!$N$9:$N$30,0),),"")</f>
        <v>PM</v>
      </c>
      <c r="I21" s="43" t="s">
        <v>60</v>
      </c>
      <c r="J21" s="44"/>
      <c r="K21" s="66"/>
      <c r="L21" s="67"/>
      <c r="M21" s="47">
        <f>B15</f>
        <v>1</v>
      </c>
      <c r="N21" s="71" t="str">
        <f t="shared" si="3"/>
        <v>↖</v>
      </c>
      <c r="O21" s="72" t="str" cm="1">
        <f t="array" ref="O21">IFERROR("(" &amp;d.type&amp; ")" &amp; IF(LEN(d.name)&gt;7,LEFT(d.name,7) &amp; "…",d.name),"")</f>
        <v>(S)Plannin…</v>
      </c>
      <c r="P21" s="70" t="s">
        <v>67</v>
      </c>
      <c r="Q21" s="73"/>
      <c r="R21" s="64">
        <v>5</v>
      </c>
      <c r="S21" s="62" cm="1">
        <f t="array" ref="S21">IFERROR(IF(ind.start&gt;0,ind.start,IF(ind.end&lt;&gt;"",plan_start_calculation,IF(d.id&lt;&gt;"",IF(OR(d.conn="FS",d.conn=""),fs_calculation,IF(d.conn="SS",ss_calculation,plan_start_calculation)),""))),"")</f>
        <v>45707</v>
      </c>
      <c r="T21" s="63" cm="1">
        <f t="array" ref="T21">IFERROR(IF(ind.start&lt;&gt;"",plan_end_calculation,IF(ind.end&lt;&gt;"",ind.end,IF(d.id&lt;&gt;"",IF(d.conn="SF",sf_calculation,IF(d.conn="FF",ff_calculation,plan_end_calculation)),""))),"")</f>
        <v>45713</v>
      </c>
      <c r="U21" s="109">
        <v>45688</v>
      </c>
      <c r="V21" s="110">
        <v>45694</v>
      </c>
      <c r="W21" s="114">
        <v>0.2</v>
      </c>
      <c r="X21" s="115">
        <v>0</v>
      </c>
      <c r="Y21" s="115">
        <v>0</v>
      </c>
      <c r="Z21" s="115">
        <v>0</v>
      </c>
      <c r="AA21" s="115">
        <v>0</v>
      </c>
      <c r="AB21" s="115">
        <v>0</v>
      </c>
      <c r="AC21" s="115">
        <v>0</v>
      </c>
      <c r="AD21" s="115">
        <v>0</v>
      </c>
      <c r="AE21" s="115">
        <v>0</v>
      </c>
      <c r="AF21" s="115">
        <v>0</v>
      </c>
      <c r="AG21" s="115">
        <v>0</v>
      </c>
      <c r="AH21" s="115">
        <v>0</v>
      </c>
      <c r="AI21" s="115">
        <v>0</v>
      </c>
      <c r="AJ21" s="115">
        <v>0</v>
      </c>
      <c r="AK21" s="115">
        <v>0</v>
      </c>
      <c r="AL21" s="115">
        <v>0</v>
      </c>
      <c r="AM21" s="115">
        <v>0</v>
      </c>
      <c r="AN21" s="115">
        <v>0</v>
      </c>
      <c r="AO21" s="115">
        <v>0</v>
      </c>
      <c r="AP21" s="115">
        <v>0</v>
      </c>
      <c r="AQ21" s="115">
        <v>0</v>
      </c>
      <c r="AR21" s="115">
        <v>0</v>
      </c>
      <c r="AS21" s="115">
        <v>0</v>
      </c>
      <c r="AT21" s="115">
        <v>0</v>
      </c>
      <c r="AU21" s="115">
        <v>0</v>
      </c>
      <c r="AV21" s="115">
        <v>0</v>
      </c>
      <c r="AW21" s="115">
        <v>0</v>
      </c>
      <c r="AX21" s="115">
        <v>0</v>
      </c>
      <c r="AY21" s="115">
        <v>0</v>
      </c>
      <c r="AZ21" s="115">
        <v>0</v>
      </c>
      <c r="BA21" s="115">
        <v>0</v>
      </c>
      <c r="BB21" s="115">
        <v>0</v>
      </c>
      <c r="BC21" s="115">
        <v>0</v>
      </c>
      <c r="BD21" s="115">
        <v>0</v>
      </c>
      <c r="BE21" s="115">
        <v>0</v>
      </c>
      <c r="BF21" s="115">
        <v>0</v>
      </c>
      <c r="BG21" s="115">
        <v>0</v>
      </c>
      <c r="BH21" s="115">
        <v>0</v>
      </c>
      <c r="BI21" s="115">
        <v>0</v>
      </c>
      <c r="BJ21" s="115">
        <v>0</v>
      </c>
      <c r="BK21" s="115">
        <v>0</v>
      </c>
      <c r="BL21" s="115">
        <v>0</v>
      </c>
      <c r="BM21" s="115">
        <v>0</v>
      </c>
      <c r="BN21" s="115">
        <v>0</v>
      </c>
    </row>
    <row r="22" spans="1:66" s="36" customFormat="1" ht="13.8">
      <c r="A22" s="77"/>
      <c r="B22" s="42">
        <f t="shared" si="2"/>
        <v>8</v>
      </c>
      <c r="C22" s="76">
        <f>IF(type&lt;&gt;"",IF(ROW(stage_id)=ROW($C$13)+2,1,IF(type="S",MAX(prev_col_range)+1,MAX(prev_col_range))),-1)</f>
        <v>2</v>
      </c>
      <c r="D22" s="78">
        <f>_xlfn.IFNA(IF(OR(type="T",type="M"),MATCH(role,Settings!$I$9:$I$16,0),-1),-1)</f>
        <v>4</v>
      </c>
      <c r="E22" s="47" t="s">
        <v>39</v>
      </c>
      <c r="F22" s="43" t="s">
        <v>65</v>
      </c>
      <c r="H22" s="61" t="str" cm="1">
        <f t="array" ref="H22">_xlfn.IFNA(INDEX(Settings!$P$9:$P$30,MATCH(team_member,Settings!$N$9:$N$30,0),),"")</f>
        <v>MAR</v>
      </c>
      <c r="I22" s="43" t="s">
        <v>61</v>
      </c>
      <c r="J22" s="44"/>
      <c r="K22" s="66"/>
      <c r="L22" s="67"/>
      <c r="M22" s="47">
        <f>B21</f>
        <v>7</v>
      </c>
      <c r="N22" s="71" t="str">
        <f t="shared" si="3"/>
        <v>↖</v>
      </c>
      <c r="O22" s="72" t="str" cm="1">
        <f t="array" ref="O22">IFERROR("(" &amp;d.type&amp; ")" &amp; IF(LEN(d.name)&gt;7,LEFT(d.name,7) &amp; "…",d.name),"")</f>
        <v>(T)Task P1</v>
      </c>
      <c r="P22" s="70" t="s">
        <v>67</v>
      </c>
      <c r="Q22" s="73"/>
      <c r="R22" s="64">
        <v>3</v>
      </c>
      <c r="S22" s="62" cm="1">
        <f t="array" ref="S22">IFERROR(IF(ind.start&gt;0,ind.start,IF(ind.end&lt;&gt;"",plan_start_calculation,IF(d.id&lt;&gt;"",IF(OR(d.conn="FS",d.conn=""),fs_calculation,IF(d.conn="SS",ss_calculation,plan_start_calculation)),""))),"")</f>
        <v>45714</v>
      </c>
      <c r="T22" s="63" cm="1">
        <f t="array" ref="T22">IFERROR(IF(ind.start&lt;&gt;"",plan_end_calculation,IF(ind.end&lt;&gt;"",ind.end,IF(d.id&lt;&gt;"",IF(d.conn="SF",sf_calculation,IF(d.conn="FF",ff_calculation,plan_end_calculation)),""))),"")</f>
        <v>45716</v>
      </c>
      <c r="U22" s="109">
        <v>45695</v>
      </c>
      <c r="V22" s="110">
        <v>45699</v>
      </c>
      <c r="W22" s="114">
        <v>0.1</v>
      </c>
      <c r="X22" s="115">
        <v>0</v>
      </c>
      <c r="Y22" s="115">
        <v>0</v>
      </c>
      <c r="Z22" s="115">
        <v>0</v>
      </c>
      <c r="AA22" s="115">
        <v>0</v>
      </c>
      <c r="AB22" s="115">
        <v>0</v>
      </c>
      <c r="AC22" s="115">
        <v>0</v>
      </c>
      <c r="AD22" s="115">
        <v>0</v>
      </c>
      <c r="AE22" s="115">
        <v>0</v>
      </c>
      <c r="AF22" s="115">
        <v>0</v>
      </c>
      <c r="AG22" s="115">
        <v>0</v>
      </c>
      <c r="AH22" s="115">
        <v>0</v>
      </c>
      <c r="AI22" s="115">
        <v>0</v>
      </c>
      <c r="AJ22" s="115">
        <v>0</v>
      </c>
      <c r="AK22" s="115">
        <v>0</v>
      </c>
      <c r="AL22" s="115">
        <v>0</v>
      </c>
      <c r="AM22" s="115">
        <v>0</v>
      </c>
      <c r="AN22" s="115">
        <v>0</v>
      </c>
      <c r="AO22" s="115">
        <v>0</v>
      </c>
      <c r="AP22" s="115">
        <v>0</v>
      </c>
      <c r="AQ22" s="115">
        <v>0</v>
      </c>
      <c r="AR22" s="115">
        <v>0</v>
      </c>
      <c r="AS22" s="115">
        <v>0</v>
      </c>
      <c r="AT22" s="115">
        <v>0</v>
      </c>
      <c r="AU22" s="115">
        <v>0</v>
      </c>
      <c r="AV22" s="115">
        <v>0</v>
      </c>
      <c r="AW22" s="115">
        <v>0</v>
      </c>
      <c r="AX22" s="115">
        <v>0</v>
      </c>
      <c r="AY22" s="115">
        <v>0</v>
      </c>
      <c r="AZ22" s="115">
        <v>0</v>
      </c>
      <c r="BA22" s="115">
        <v>0</v>
      </c>
      <c r="BB22" s="115">
        <v>0</v>
      </c>
      <c r="BC22" s="115">
        <v>0</v>
      </c>
      <c r="BD22" s="115">
        <v>0</v>
      </c>
      <c r="BE22" s="115">
        <v>0</v>
      </c>
      <c r="BF22" s="115">
        <v>0</v>
      </c>
      <c r="BG22" s="115">
        <v>0</v>
      </c>
      <c r="BH22" s="115">
        <v>0</v>
      </c>
      <c r="BI22" s="115">
        <v>0</v>
      </c>
      <c r="BJ22" s="115">
        <v>0</v>
      </c>
      <c r="BK22" s="115">
        <v>0</v>
      </c>
      <c r="BL22" s="115">
        <v>0</v>
      </c>
      <c r="BM22" s="115">
        <v>0</v>
      </c>
      <c r="BN22" s="115">
        <v>0</v>
      </c>
    </row>
    <row r="23" spans="1:66" s="36" customFormat="1" ht="13.8">
      <c r="A23" s="77"/>
      <c r="B23" s="42">
        <f t="shared" si="2"/>
        <v>9</v>
      </c>
      <c r="C23" s="76">
        <f>IF(type&lt;&gt;"",IF(ROW(stage_id)=ROW($C$13)+2,1,IF(type="S",MAX(prev_col_range)+1,MAX(prev_col_range))),-1)</f>
        <v>2</v>
      </c>
      <c r="D23" s="78">
        <f>_xlfn.IFNA(IF(OR(type="T",type="M"),MATCH(role,Settings!$I$9:$I$16,0),-1),-1)</f>
        <v>5</v>
      </c>
      <c r="E23" s="47" t="s">
        <v>39</v>
      </c>
      <c r="F23" s="43" t="s">
        <v>66</v>
      </c>
      <c r="H23" s="61" t="str" cm="1">
        <f t="array" ref="H23">_xlfn.IFNA(INDEX(Settings!$P$9:$P$30,MATCH(team_member,Settings!$N$9:$N$30,0),),"")</f>
        <v>FIN</v>
      </c>
      <c r="I23" s="43" t="s">
        <v>62</v>
      </c>
      <c r="J23" s="44"/>
      <c r="K23" s="66"/>
      <c r="L23" s="67"/>
      <c r="M23" s="47">
        <f>B22</f>
        <v>8</v>
      </c>
      <c r="N23" s="71" t="str">
        <f t="shared" si="3"/>
        <v>↖</v>
      </c>
      <c r="O23" s="72" t="str" cm="1">
        <f t="array" ref="O23">IFERROR("(" &amp;d.type&amp; ")" &amp; IF(LEN(d.name)&gt;7,LEFT(d.name,7) &amp; "…",d.name),"")</f>
        <v>(T)Task P2</v>
      </c>
      <c r="P23" s="70" t="s">
        <v>67</v>
      </c>
      <c r="Q23" s="73"/>
      <c r="R23" s="64">
        <v>2</v>
      </c>
      <c r="S23" s="62" cm="1">
        <f t="array" ref="S23">IFERROR(IF(ind.start&gt;0,ind.start,IF(ind.end&lt;&gt;"",plan_start_calculation,IF(d.id&lt;&gt;"",IF(OR(d.conn="FS",d.conn=""),fs_calculation,IF(d.conn="SS",ss_calculation,plan_start_calculation)),""))),"")</f>
        <v>45719</v>
      </c>
      <c r="T23" s="63" cm="1">
        <f t="array" ref="T23">IFERROR(IF(ind.start&lt;&gt;"",plan_end_calculation,IF(ind.end&lt;&gt;"",ind.end,IF(d.id&lt;&gt;"",IF(d.conn="SF",sf_calculation,IF(d.conn="FF",ff_calculation,plan_end_calculation)),""))),"")</f>
        <v>45720</v>
      </c>
      <c r="U23" s="109">
        <v>45700</v>
      </c>
      <c r="V23" s="110">
        <v>45701</v>
      </c>
      <c r="W23" s="114">
        <v>0</v>
      </c>
      <c r="X23" s="115">
        <v>0</v>
      </c>
      <c r="Y23" s="115">
        <v>0</v>
      </c>
      <c r="Z23" s="115">
        <v>0</v>
      </c>
      <c r="AA23" s="115">
        <v>0</v>
      </c>
      <c r="AB23" s="115">
        <v>0</v>
      </c>
      <c r="AC23" s="115">
        <v>0</v>
      </c>
      <c r="AD23" s="115">
        <v>0</v>
      </c>
      <c r="AE23" s="115">
        <v>0</v>
      </c>
      <c r="AF23" s="115">
        <v>0</v>
      </c>
      <c r="AG23" s="115">
        <v>0</v>
      </c>
      <c r="AH23" s="115">
        <v>0</v>
      </c>
      <c r="AI23" s="115">
        <v>0</v>
      </c>
      <c r="AJ23" s="115">
        <v>0</v>
      </c>
      <c r="AK23" s="115">
        <v>0</v>
      </c>
      <c r="AL23" s="115">
        <v>0</v>
      </c>
      <c r="AM23" s="115">
        <v>0</v>
      </c>
      <c r="AN23" s="115">
        <v>0</v>
      </c>
      <c r="AO23" s="115">
        <v>0</v>
      </c>
      <c r="AP23" s="115">
        <v>0</v>
      </c>
      <c r="AQ23" s="115">
        <v>0</v>
      </c>
      <c r="AR23" s="115">
        <v>0</v>
      </c>
      <c r="AS23" s="115">
        <v>0</v>
      </c>
      <c r="AT23" s="115">
        <v>0</v>
      </c>
      <c r="AU23" s="115">
        <v>0</v>
      </c>
      <c r="AV23" s="115">
        <v>0</v>
      </c>
      <c r="AW23" s="115">
        <v>0</v>
      </c>
      <c r="AX23" s="115">
        <v>0</v>
      </c>
      <c r="AY23" s="115">
        <v>0</v>
      </c>
      <c r="AZ23" s="115">
        <v>0</v>
      </c>
      <c r="BA23" s="115">
        <v>0</v>
      </c>
      <c r="BB23" s="115">
        <v>0</v>
      </c>
      <c r="BC23" s="115">
        <v>0</v>
      </c>
      <c r="BD23" s="115">
        <v>0</v>
      </c>
      <c r="BE23" s="115">
        <v>0</v>
      </c>
      <c r="BF23" s="115">
        <v>0</v>
      </c>
      <c r="BG23" s="115">
        <v>0</v>
      </c>
      <c r="BH23" s="115">
        <v>0</v>
      </c>
      <c r="BI23" s="115">
        <v>0</v>
      </c>
      <c r="BJ23" s="115">
        <v>0</v>
      </c>
      <c r="BK23" s="115">
        <v>0</v>
      </c>
      <c r="BL23" s="115">
        <v>0</v>
      </c>
      <c r="BM23" s="115">
        <v>0</v>
      </c>
      <c r="BN23" s="115">
        <v>0</v>
      </c>
    </row>
    <row r="24" spans="1:66" s="36" customFormat="1" ht="13.8">
      <c r="A24" s="77"/>
      <c r="B24" s="42">
        <f t="shared" si="2"/>
        <v>10</v>
      </c>
      <c r="C24" s="76">
        <f>IF(type&lt;&gt;"",IF(ROW(stage_id)=ROW($C$13)+2,1,IF(type="S",MAX(prev_col_range)+1,MAX(prev_col_range))),-1)</f>
        <v>2</v>
      </c>
      <c r="D24" s="78">
        <f>_xlfn.IFNA(IF(OR(type="T",type="M"),MATCH(role,Settings!$I$9:$I$16,0),-1),-1)</f>
        <v>2</v>
      </c>
      <c r="E24" s="47" t="s">
        <v>40</v>
      </c>
      <c r="F24" s="43" t="s">
        <v>42</v>
      </c>
      <c r="H24" s="61" t="str" cm="1">
        <f t="array" ref="H24">_xlfn.IFNA(INDEX(Settings!$P$9:$P$30,MATCH(team_member,Settings!$N$9:$N$30,0),),"")</f>
        <v>COD</v>
      </c>
      <c r="I24" s="43" t="s">
        <v>63</v>
      </c>
      <c r="J24" s="44"/>
      <c r="K24" s="66"/>
      <c r="L24" s="67"/>
      <c r="M24" s="47">
        <f>B23</f>
        <v>9</v>
      </c>
      <c r="N24" s="71" t="str">
        <f t="shared" si="3"/>
        <v>↖</v>
      </c>
      <c r="O24" s="72" t="str" cm="1">
        <f t="array" ref="O24">IFERROR("(" &amp;d.type&amp; ")" &amp; IF(LEN(d.name)&gt;7,LEFT(d.name,7) &amp; "…",d.name),"")</f>
        <v>(T)Task P3</v>
      </c>
      <c r="P24" s="70" t="s">
        <v>69</v>
      </c>
      <c r="Q24" s="73"/>
      <c r="R24" s="64"/>
      <c r="S24" s="62" cm="1">
        <f t="array" ref="S24">IFERROR(IF(ind.start&gt;0,ind.start,IF(ind.end&lt;&gt;"",plan_start_calculation,IF(d.id&lt;&gt;"",IF(OR(d.conn="FS",d.conn=""),fs_calculation,IF(d.conn="SS",ss_calculation,plan_start_calculation)),""))),"")</f>
        <v>45720</v>
      </c>
      <c r="T24" s="63" cm="1">
        <f t="array" ref="T24">IFERROR(IF(ind.start&lt;&gt;"",plan_end_calculation,IF(ind.end&lt;&gt;"",ind.end,IF(d.id&lt;&gt;"",IF(d.conn="SF",sf_calculation,IF(d.conn="FF",ff_calculation,plan_end_calculation)),""))),"")</f>
        <v>45720</v>
      </c>
      <c r="U24" s="109">
        <v>45701</v>
      </c>
      <c r="V24" s="110">
        <v>45701</v>
      </c>
      <c r="W24" s="114">
        <f>1*(SUM(W21:W23)=3)</f>
        <v>0</v>
      </c>
      <c r="X24" s="115">
        <v>0</v>
      </c>
      <c r="Y24" s="115">
        <v>0</v>
      </c>
      <c r="Z24" s="115">
        <v>0</v>
      </c>
      <c r="AA24" s="115">
        <v>0</v>
      </c>
      <c r="AB24" s="115">
        <v>0</v>
      </c>
      <c r="AC24" s="115">
        <v>0</v>
      </c>
      <c r="AD24" s="115">
        <v>0</v>
      </c>
      <c r="AE24" s="115">
        <v>0</v>
      </c>
      <c r="AF24" s="115">
        <v>0</v>
      </c>
      <c r="AG24" s="115">
        <v>0</v>
      </c>
      <c r="AH24" s="115">
        <v>0</v>
      </c>
      <c r="AI24" s="115">
        <v>0</v>
      </c>
      <c r="AJ24" s="115">
        <v>0</v>
      </c>
      <c r="AK24" s="115">
        <v>0</v>
      </c>
      <c r="AL24" s="115">
        <v>0</v>
      </c>
      <c r="AM24" s="115">
        <v>0</v>
      </c>
      <c r="AN24" s="115">
        <v>0</v>
      </c>
      <c r="AO24" s="115">
        <v>0</v>
      </c>
      <c r="AP24" s="115">
        <v>0</v>
      </c>
      <c r="AQ24" s="115">
        <v>0</v>
      </c>
      <c r="AR24" s="115">
        <v>0</v>
      </c>
      <c r="AS24" s="115">
        <v>0</v>
      </c>
      <c r="AT24" s="115">
        <v>0</v>
      </c>
      <c r="AU24" s="115">
        <v>0</v>
      </c>
      <c r="AV24" s="115">
        <v>0</v>
      </c>
      <c r="AW24" s="115">
        <v>0</v>
      </c>
      <c r="AX24" s="115">
        <v>0</v>
      </c>
      <c r="AY24" s="115">
        <v>0</v>
      </c>
      <c r="AZ24" s="115">
        <v>0</v>
      </c>
      <c r="BA24" s="115">
        <v>0</v>
      </c>
      <c r="BB24" s="115">
        <v>0</v>
      </c>
      <c r="BC24" s="115">
        <v>0</v>
      </c>
      <c r="BD24" s="115">
        <v>0</v>
      </c>
      <c r="BE24" s="115">
        <v>0</v>
      </c>
      <c r="BF24" s="115">
        <v>0</v>
      </c>
      <c r="BG24" s="115">
        <v>0</v>
      </c>
      <c r="BH24" s="115">
        <v>0</v>
      </c>
      <c r="BI24" s="115">
        <v>0</v>
      </c>
      <c r="BJ24" s="115">
        <v>0</v>
      </c>
      <c r="BK24" s="115">
        <v>0</v>
      </c>
      <c r="BL24" s="115">
        <v>0</v>
      </c>
      <c r="BM24" s="115">
        <v>0</v>
      </c>
      <c r="BN24" s="115">
        <v>0</v>
      </c>
    </row>
    <row r="25" spans="1:66" s="36" customFormat="1" ht="13.8">
      <c r="A25" s="77"/>
      <c r="B25" s="42">
        <f t="shared" si="2"/>
        <v>11</v>
      </c>
      <c r="C25" s="76">
        <f>IF(type&lt;&gt;"",IF(ROW(stage_id)=ROW($C$13)+2,1,IF(type="S",MAX(prev_col_range)+1,MAX(prev_col_range))),-1)</f>
        <v>3</v>
      </c>
      <c r="D25" s="78">
        <f>_xlfn.IFNA(IF(OR(type="T",type="M"),MATCH(role,Settings!$I$9:$I$16,0),-1),-1)</f>
        <v>-1</v>
      </c>
      <c r="E25" s="47" t="s">
        <v>37</v>
      </c>
      <c r="F25" s="43" t="s">
        <v>70</v>
      </c>
      <c r="H25" s="61" t="str" cm="1">
        <f t="array" ref="H25">_xlfn.IFNA(INDEX(Settings!$P$9:$P$30,MATCH(team_member,Settings!$N$9:$N$30,0),),"")</f>
        <v/>
      </c>
      <c r="I25" s="43"/>
      <c r="J25" s="44"/>
      <c r="K25" s="66">
        <f>MIN(S26:S29)</f>
        <v>45706</v>
      </c>
      <c r="L25" s="67"/>
      <c r="M25" s="47"/>
      <c r="N25" s="71" t="str">
        <f t="shared" si="3"/>
        <v/>
      </c>
      <c r="O25" s="72" t="str" cm="1">
        <f t="array" ref="O25">IFERROR("(" &amp;d.type&amp; ")" &amp; IF(LEN(d.name)&gt;7,LEFT(d.name,7) &amp; "…",d.name),"")</f>
        <v/>
      </c>
      <c r="P25" s="70" t="s">
        <v>67</v>
      </c>
      <c r="Q25" s="73"/>
      <c r="R25" s="64">
        <f>NETWORKDAYS(plan_start, MAX(T26:T29),)</f>
        <v>11</v>
      </c>
      <c r="S25" s="62" cm="1">
        <f t="array" ref="S25">IFERROR(IF(ind.start&gt;0,ind.start,IF(ind.end&lt;&gt;"",plan_start_calculation,IF(d.id&lt;&gt;"",IF(OR(d.conn="FS",d.conn=""),fs_calculation,IF(d.conn="SS",ss_calculation,plan_start_calculation)),""))),"")</f>
        <v>45706</v>
      </c>
      <c r="T25" s="63" cm="1">
        <f t="array" ref="T25">IFERROR(IF(ind.start&lt;&gt;"",plan_end_calculation,IF(ind.end&lt;&gt;"",ind.end,IF(d.id&lt;&gt;"",IF(d.conn="SF",sf_calculation,IF(d.conn="FF",ff_calculation,plan_end_calculation)),""))),"")</f>
        <v>45720</v>
      </c>
      <c r="U25" s="109">
        <v>45687</v>
      </c>
      <c r="V25" s="110">
        <v>45701</v>
      </c>
      <c r="W25" s="114" cm="1">
        <f t="array" ref="W25">SUM(W26:W29*R26:R29)/SUM(R26:R29)</f>
        <v>0</v>
      </c>
      <c r="X25" s="115">
        <v>0</v>
      </c>
      <c r="Y25" s="115">
        <v>0</v>
      </c>
      <c r="Z25" s="115">
        <v>0</v>
      </c>
      <c r="AA25" s="115">
        <v>0</v>
      </c>
      <c r="AB25" s="115">
        <v>0</v>
      </c>
      <c r="AC25" s="115">
        <v>0</v>
      </c>
      <c r="AD25" s="115">
        <v>0</v>
      </c>
      <c r="AE25" s="115">
        <v>0</v>
      </c>
      <c r="AF25" s="115">
        <v>0</v>
      </c>
      <c r="AG25" s="115">
        <v>0</v>
      </c>
      <c r="AH25" s="115">
        <v>0</v>
      </c>
      <c r="AI25" s="115">
        <v>0</v>
      </c>
      <c r="AJ25" s="115">
        <v>0</v>
      </c>
      <c r="AK25" s="115">
        <v>0</v>
      </c>
      <c r="AL25" s="115">
        <v>0</v>
      </c>
      <c r="AM25" s="115">
        <v>0</v>
      </c>
      <c r="AN25" s="115">
        <v>0</v>
      </c>
      <c r="AO25" s="115">
        <v>0</v>
      </c>
      <c r="AP25" s="115">
        <v>0</v>
      </c>
      <c r="AQ25" s="115">
        <v>0</v>
      </c>
      <c r="AR25" s="115">
        <v>0</v>
      </c>
      <c r="AS25" s="115">
        <v>0</v>
      </c>
      <c r="AT25" s="115">
        <v>0</v>
      </c>
      <c r="AU25" s="115">
        <v>0</v>
      </c>
      <c r="AV25" s="115">
        <v>0</v>
      </c>
      <c r="AW25" s="115">
        <v>0</v>
      </c>
      <c r="AX25" s="115">
        <v>0</v>
      </c>
      <c r="AY25" s="115">
        <v>0</v>
      </c>
      <c r="AZ25" s="115">
        <v>0</v>
      </c>
      <c r="BA25" s="115">
        <v>0</v>
      </c>
      <c r="BB25" s="115">
        <v>0</v>
      </c>
      <c r="BC25" s="115">
        <v>0</v>
      </c>
      <c r="BD25" s="115">
        <v>0</v>
      </c>
      <c r="BE25" s="115">
        <v>0</v>
      </c>
      <c r="BF25" s="115">
        <v>0</v>
      </c>
      <c r="BG25" s="115">
        <v>0</v>
      </c>
      <c r="BH25" s="115">
        <v>0</v>
      </c>
      <c r="BI25" s="115">
        <v>0</v>
      </c>
      <c r="BJ25" s="115">
        <v>0</v>
      </c>
      <c r="BK25" s="115">
        <v>0</v>
      </c>
      <c r="BL25" s="115">
        <v>0</v>
      </c>
      <c r="BM25" s="115">
        <v>0</v>
      </c>
      <c r="BN25" s="115">
        <v>0</v>
      </c>
    </row>
    <row r="26" spans="1:66" s="36" customFormat="1" ht="13.8">
      <c r="A26" s="77"/>
      <c r="B26" s="42">
        <f t="shared" si="2"/>
        <v>12</v>
      </c>
      <c r="C26" s="76">
        <f>IF(type&lt;&gt;"",IF(ROW(stage_id)=ROW($C$13)+2,1,IF(type="S",MAX(prev_col_range)+1,MAX(prev_col_range))),-1)</f>
        <v>3</v>
      </c>
      <c r="D26" s="78">
        <f>_xlfn.IFNA(IF(OR(type="T",type="M"),MATCH(role,Settings!$I$9:$I$16,0),-1),-1)</f>
        <v>-1</v>
      </c>
      <c r="E26" s="47" t="s">
        <v>39</v>
      </c>
      <c r="F26" s="43" t="s">
        <v>71</v>
      </c>
      <c r="H26" s="61" t="str" cm="1">
        <f t="array" ref="H26">_xlfn.IFNA(INDEX(Settings!$P$9:$P$30,MATCH(team_member,Settings!$N$9:$N$30,0),),"")</f>
        <v/>
      </c>
      <c r="I26" s="43"/>
      <c r="J26" s="44"/>
      <c r="K26" s="66"/>
      <c r="L26" s="67"/>
      <c r="M26" s="47">
        <f t="shared" ref="M26:M27" si="4">B27</f>
        <v>13</v>
      </c>
      <c r="N26" s="71" t="str">
        <f t="shared" si="3"/>
        <v>↙</v>
      </c>
      <c r="O26" s="72" t="str" cm="1">
        <f t="array" ref="O26">IFERROR("(" &amp;d.type&amp; ")" &amp; IF(LEN(d.name)&gt;7,LEFT(d.name,7) &amp; "…",d.name),"")</f>
        <v>(T)Task RP…</v>
      </c>
      <c r="P26" s="70" t="s">
        <v>68</v>
      </c>
      <c r="Q26" s="73"/>
      <c r="R26" s="64">
        <v>5</v>
      </c>
      <c r="S26" s="62" cm="1">
        <f t="array" ref="S26">IFERROR(IF(ind.start&gt;0,ind.start,IF(ind.end&lt;&gt;"",plan_start_calculation,IF(d.id&lt;&gt;"",IF(OR(d.conn="FS",d.conn=""),fs_calculation,IF(d.conn="SS",ss_calculation,plan_start_calculation)),""))),"")</f>
        <v>45706</v>
      </c>
      <c r="T26" s="63" cm="1">
        <f t="array" ref="T26">IFERROR(IF(ind.start&lt;&gt;"",plan_end_calculation,IF(ind.end&lt;&gt;"",ind.end,IF(d.id&lt;&gt;"",IF(d.conn="SF",sf_calculation,IF(d.conn="FF",ff_calculation,plan_end_calculation)),""))),"")</f>
        <v>45712</v>
      </c>
      <c r="U26" s="109">
        <v>45687</v>
      </c>
      <c r="V26" s="110">
        <v>45693</v>
      </c>
      <c r="W26" s="114"/>
      <c r="X26" s="115">
        <v>0</v>
      </c>
      <c r="Y26" s="115">
        <v>0</v>
      </c>
      <c r="Z26" s="115">
        <v>0</v>
      </c>
      <c r="AA26" s="115">
        <v>0</v>
      </c>
      <c r="AB26" s="115">
        <v>0</v>
      </c>
      <c r="AC26" s="115">
        <v>0</v>
      </c>
      <c r="AD26" s="115">
        <v>0</v>
      </c>
      <c r="AE26" s="115">
        <v>0</v>
      </c>
      <c r="AF26" s="115">
        <v>0</v>
      </c>
      <c r="AG26" s="115">
        <v>0</v>
      </c>
      <c r="AH26" s="115">
        <v>0</v>
      </c>
      <c r="AI26" s="115">
        <v>0</v>
      </c>
      <c r="AJ26" s="115">
        <v>0</v>
      </c>
      <c r="AK26" s="115">
        <v>0</v>
      </c>
      <c r="AL26" s="115">
        <v>0</v>
      </c>
      <c r="AM26" s="115">
        <v>0</v>
      </c>
      <c r="AN26" s="115">
        <v>0</v>
      </c>
      <c r="AO26" s="115">
        <v>0</v>
      </c>
      <c r="AP26" s="115">
        <v>0</v>
      </c>
      <c r="AQ26" s="115">
        <v>0</v>
      </c>
      <c r="AR26" s="115">
        <v>0</v>
      </c>
      <c r="AS26" s="115">
        <v>0</v>
      </c>
      <c r="AT26" s="115">
        <v>0</v>
      </c>
      <c r="AU26" s="115">
        <v>0</v>
      </c>
      <c r="AV26" s="115">
        <v>0</v>
      </c>
      <c r="AW26" s="115">
        <v>0</v>
      </c>
      <c r="AX26" s="115">
        <v>0</v>
      </c>
      <c r="AY26" s="115">
        <v>0</v>
      </c>
      <c r="AZ26" s="115">
        <v>0</v>
      </c>
      <c r="BA26" s="115">
        <v>0</v>
      </c>
      <c r="BB26" s="115">
        <v>0</v>
      </c>
      <c r="BC26" s="115">
        <v>0</v>
      </c>
      <c r="BD26" s="115">
        <v>0</v>
      </c>
      <c r="BE26" s="115">
        <v>0</v>
      </c>
      <c r="BF26" s="115">
        <v>0</v>
      </c>
      <c r="BG26" s="115">
        <v>0</v>
      </c>
      <c r="BH26" s="115">
        <v>0</v>
      </c>
      <c r="BI26" s="115">
        <v>0</v>
      </c>
      <c r="BJ26" s="115">
        <v>0</v>
      </c>
      <c r="BK26" s="115">
        <v>0</v>
      </c>
      <c r="BL26" s="115">
        <v>0</v>
      </c>
      <c r="BM26" s="115">
        <v>0</v>
      </c>
      <c r="BN26" s="115">
        <v>0</v>
      </c>
    </row>
    <row r="27" spans="1:66" s="36" customFormat="1" ht="13.8">
      <c r="A27" s="77"/>
      <c r="B27" s="42">
        <f t="shared" si="2"/>
        <v>13</v>
      </c>
      <c r="C27" s="76">
        <f>IF(type&lt;&gt;"",IF(ROW(stage_id)=ROW($C$13)+2,1,IF(type="S",MAX(prev_col_range)+1,MAX(prev_col_range))),-1)</f>
        <v>3</v>
      </c>
      <c r="D27" s="78">
        <f>_xlfn.IFNA(IF(OR(type="T",type="M"),MATCH(role,Settings!$I$9:$I$16,0),-1),-1)</f>
        <v>-1</v>
      </c>
      <c r="E27" s="47" t="s">
        <v>39</v>
      </c>
      <c r="F27" s="43" t="s">
        <v>72</v>
      </c>
      <c r="H27" s="61" t="str" cm="1">
        <f t="array" ref="H27">_xlfn.IFNA(INDEX(Settings!$P$9:$P$30,MATCH(team_member,Settings!$N$9:$N$30,0),),"")</f>
        <v/>
      </c>
      <c r="I27" s="43"/>
      <c r="J27" s="44"/>
      <c r="K27" s="66"/>
      <c r="L27" s="67"/>
      <c r="M27" s="47">
        <f t="shared" si="4"/>
        <v>14</v>
      </c>
      <c r="N27" s="71" t="str">
        <f t="shared" si="3"/>
        <v>↙</v>
      </c>
      <c r="O27" s="72" t="str" cm="1">
        <f t="array" ref="O27">IFERROR("(" &amp;d.type&amp; ")" &amp; IF(LEN(d.name)&gt;7,LEFT(d.name,7) &amp; "…",d.name),"")</f>
        <v>(T)Task RP…</v>
      </c>
      <c r="P27" s="70" t="s">
        <v>68</v>
      </c>
      <c r="Q27" s="73"/>
      <c r="R27" s="64">
        <v>4</v>
      </c>
      <c r="S27" s="62" cm="1">
        <f t="array" ref="S27">IFERROR(IF(ind.start&gt;0,ind.start,IF(ind.end&lt;&gt;"",plan_start_calculation,IF(d.id&lt;&gt;"",IF(OR(d.conn="FS",d.conn=""),fs_calculation,IF(d.conn="SS",ss_calculation,plan_start_calculation)),""))),"")</f>
        <v>45713</v>
      </c>
      <c r="T27" s="63" cm="1">
        <f t="array" ref="T27">IFERROR(IF(ind.start&lt;&gt;"",plan_end_calculation,IF(ind.end&lt;&gt;"",ind.end,IF(d.id&lt;&gt;"",IF(d.conn="SF",sf_calculation,IF(d.conn="FF",ff_calculation,plan_end_calculation)),""))),"")</f>
        <v>45716</v>
      </c>
      <c r="U27" s="109">
        <v>45694</v>
      </c>
      <c r="V27" s="110">
        <v>45699</v>
      </c>
      <c r="W27" s="114"/>
      <c r="X27" s="115">
        <v>0</v>
      </c>
      <c r="Y27" s="115">
        <v>0</v>
      </c>
      <c r="Z27" s="115">
        <v>0</v>
      </c>
      <c r="AA27" s="115">
        <v>0</v>
      </c>
      <c r="AB27" s="115">
        <v>0</v>
      </c>
      <c r="AC27" s="115">
        <v>0</v>
      </c>
      <c r="AD27" s="115">
        <v>0</v>
      </c>
      <c r="AE27" s="115">
        <v>0</v>
      </c>
      <c r="AF27" s="115">
        <v>0</v>
      </c>
      <c r="AG27" s="115">
        <v>0</v>
      </c>
      <c r="AH27" s="115">
        <v>0</v>
      </c>
      <c r="AI27" s="115">
        <v>0</v>
      </c>
      <c r="AJ27" s="115">
        <v>0</v>
      </c>
      <c r="AK27" s="115">
        <v>0</v>
      </c>
      <c r="AL27" s="115">
        <v>0</v>
      </c>
      <c r="AM27" s="115">
        <v>0</v>
      </c>
      <c r="AN27" s="115">
        <v>0</v>
      </c>
      <c r="AO27" s="115">
        <v>0</v>
      </c>
      <c r="AP27" s="115">
        <v>0</v>
      </c>
      <c r="AQ27" s="115">
        <v>0</v>
      </c>
      <c r="AR27" s="115">
        <v>0</v>
      </c>
      <c r="AS27" s="115">
        <v>0</v>
      </c>
      <c r="AT27" s="115">
        <v>0</v>
      </c>
      <c r="AU27" s="115">
        <v>0</v>
      </c>
      <c r="AV27" s="115">
        <v>0</v>
      </c>
      <c r="AW27" s="115">
        <v>0</v>
      </c>
      <c r="AX27" s="115">
        <v>0</v>
      </c>
      <c r="AY27" s="115">
        <v>0</v>
      </c>
      <c r="AZ27" s="115">
        <v>0</v>
      </c>
      <c r="BA27" s="115">
        <v>0</v>
      </c>
      <c r="BB27" s="115">
        <v>0</v>
      </c>
      <c r="BC27" s="115">
        <v>0</v>
      </c>
      <c r="BD27" s="115">
        <v>0</v>
      </c>
      <c r="BE27" s="115">
        <v>0</v>
      </c>
      <c r="BF27" s="115">
        <v>0</v>
      </c>
      <c r="BG27" s="115">
        <v>0</v>
      </c>
      <c r="BH27" s="115">
        <v>0</v>
      </c>
      <c r="BI27" s="115">
        <v>0</v>
      </c>
      <c r="BJ27" s="115">
        <v>0</v>
      </c>
      <c r="BK27" s="115">
        <v>0</v>
      </c>
      <c r="BL27" s="115">
        <v>0</v>
      </c>
      <c r="BM27" s="115">
        <v>0</v>
      </c>
      <c r="BN27" s="115">
        <v>0</v>
      </c>
    </row>
    <row r="28" spans="1:66" s="36" customFormat="1" ht="13.8">
      <c r="A28" s="77"/>
      <c r="B28" s="42">
        <f t="shared" si="2"/>
        <v>14</v>
      </c>
      <c r="C28" s="76">
        <f>IF(type&lt;&gt;"",IF(ROW(stage_id)=ROW($C$13)+2,1,IF(type="S",MAX(prev_col_range)+1,MAX(prev_col_range))),-1)</f>
        <v>3</v>
      </c>
      <c r="D28" s="78">
        <f>_xlfn.IFNA(IF(OR(type="T",type="M"),MATCH(role,Settings!$I$9:$I$16,0),-1),-1)</f>
        <v>-1</v>
      </c>
      <c r="E28" s="47" t="s">
        <v>39</v>
      </c>
      <c r="F28" s="43" t="s">
        <v>73</v>
      </c>
      <c r="H28" s="61" t="str" cm="1">
        <f t="array" ref="H28">_xlfn.IFNA(INDEX(Settings!$P$9:$P$30,MATCH(team_member,Settings!$N$9:$N$30,0),),"")</f>
        <v/>
      </c>
      <c r="I28" s="43"/>
      <c r="J28" s="44"/>
      <c r="K28" s="66"/>
      <c r="L28" s="67"/>
      <c r="M28" s="47">
        <f>B29</f>
        <v>15</v>
      </c>
      <c r="N28" s="71" t="str">
        <f t="shared" si="3"/>
        <v>↙</v>
      </c>
      <c r="O28" s="72" t="str" cm="1">
        <f t="array" ref="O28">IFERROR("(" &amp;d.type&amp; ")" &amp; IF(LEN(d.name)&gt;7,LEFT(d.name,7) &amp; "…",d.name),"")</f>
        <v>(M)Milesto…</v>
      </c>
      <c r="P28" s="70" t="s">
        <v>69</v>
      </c>
      <c r="Q28" s="73"/>
      <c r="R28" s="64">
        <v>2</v>
      </c>
      <c r="S28" s="62" cm="1">
        <f t="array" ref="S28">IFERROR(IF(ind.start&gt;0,ind.start,IF(ind.end&lt;&gt;"",plan_start_calculation,IF(d.id&lt;&gt;"",IF(OR(d.conn="FS",d.conn=""),fs_calculation,IF(d.conn="SS",ss_calculation,plan_start_calculation)),""))),"")</f>
        <v>45719</v>
      </c>
      <c r="T28" s="63" cm="1">
        <f t="array" ref="T28">IFERROR(IF(ind.start&lt;&gt;"",plan_end_calculation,IF(ind.end&lt;&gt;"",ind.end,IF(d.id&lt;&gt;"",IF(d.conn="SF",sf_calculation,IF(d.conn="FF",ff_calculation,plan_end_calculation)),""))),"")</f>
        <v>45720</v>
      </c>
      <c r="U28" s="109">
        <v>45700</v>
      </c>
      <c r="V28" s="110">
        <v>45701</v>
      </c>
      <c r="W28" s="114"/>
      <c r="X28" s="115">
        <v>0</v>
      </c>
      <c r="Y28" s="115">
        <v>0</v>
      </c>
      <c r="Z28" s="115">
        <v>0</v>
      </c>
      <c r="AA28" s="115">
        <v>0</v>
      </c>
      <c r="AB28" s="115">
        <v>0</v>
      </c>
      <c r="AC28" s="115">
        <v>0</v>
      </c>
      <c r="AD28" s="115">
        <v>0</v>
      </c>
      <c r="AE28" s="115">
        <v>0</v>
      </c>
      <c r="AF28" s="115">
        <v>0</v>
      </c>
      <c r="AG28" s="115">
        <v>0</v>
      </c>
      <c r="AH28" s="115">
        <v>0</v>
      </c>
      <c r="AI28" s="115">
        <v>0</v>
      </c>
      <c r="AJ28" s="115">
        <v>0</v>
      </c>
      <c r="AK28" s="115">
        <v>0</v>
      </c>
      <c r="AL28" s="115">
        <v>0</v>
      </c>
      <c r="AM28" s="115">
        <v>0</v>
      </c>
      <c r="AN28" s="115">
        <v>0</v>
      </c>
      <c r="AO28" s="115">
        <v>0</v>
      </c>
      <c r="AP28" s="115">
        <v>0</v>
      </c>
      <c r="AQ28" s="115">
        <v>0</v>
      </c>
      <c r="AR28" s="115">
        <v>0</v>
      </c>
      <c r="AS28" s="115">
        <v>0</v>
      </c>
      <c r="AT28" s="115">
        <v>0</v>
      </c>
      <c r="AU28" s="115">
        <v>0</v>
      </c>
      <c r="AV28" s="115">
        <v>0</v>
      </c>
      <c r="AW28" s="115">
        <v>0</v>
      </c>
      <c r="AX28" s="115">
        <v>0</v>
      </c>
      <c r="AY28" s="115">
        <v>0</v>
      </c>
      <c r="AZ28" s="115">
        <v>0</v>
      </c>
      <c r="BA28" s="115">
        <v>0</v>
      </c>
      <c r="BB28" s="115">
        <v>0</v>
      </c>
      <c r="BC28" s="115">
        <v>0</v>
      </c>
      <c r="BD28" s="115">
        <v>0</v>
      </c>
      <c r="BE28" s="115">
        <v>0</v>
      </c>
      <c r="BF28" s="115">
        <v>0</v>
      </c>
      <c r="BG28" s="115">
        <v>0</v>
      </c>
      <c r="BH28" s="115">
        <v>0</v>
      </c>
      <c r="BI28" s="115">
        <v>0</v>
      </c>
      <c r="BJ28" s="115">
        <v>0</v>
      </c>
      <c r="BK28" s="115">
        <v>0</v>
      </c>
      <c r="BL28" s="115">
        <v>0</v>
      </c>
      <c r="BM28" s="115">
        <v>0</v>
      </c>
      <c r="BN28" s="115">
        <v>0</v>
      </c>
    </row>
    <row r="29" spans="1:66" s="36" customFormat="1" ht="13.8">
      <c r="A29" s="77"/>
      <c r="B29" s="42">
        <f t="shared" si="2"/>
        <v>15</v>
      </c>
      <c r="C29" s="76">
        <f>IF(type&lt;&gt;"",IF(ROW(stage_id)=ROW($C$13)+2,1,IF(type="S",MAX(prev_col_range)+1,MAX(prev_col_range))),-1)</f>
        <v>3</v>
      </c>
      <c r="D29" s="78">
        <f>_xlfn.IFNA(IF(OR(type="T",type="M"),MATCH(role,Settings!$I$9:$I$16,0),-1),-1)</f>
        <v>-1</v>
      </c>
      <c r="E29" s="47" t="s">
        <v>40</v>
      </c>
      <c r="F29" s="43" t="s">
        <v>74</v>
      </c>
      <c r="H29" s="61" t="str" cm="1">
        <f t="array" ref="H29">_xlfn.IFNA(INDEX(Settings!$P$9:$P$30,MATCH(team_member,Settings!$N$9:$N$30,0),),"")</f>
        <v/>
      </c>
      <c r="I29" s="43"/>
      <c r="J29" s="44"/>
      <c r="K29" s="66"/>
      <c r="L29" s="67"/>
      <c r="M29" s="47">
        <f>B20</f>
        <v>6</v>
      </c>
      <c r="N29" s="71" t="str">
        <f t="shared" si="3"/>
        <v>↖</v>
      </c>
      <c r="O29" s="72" t="str" cm="1">
        <f t="array" ref="O29">IFERROR("(" &amp;d.type&amp; ")" &amp; IF(LEN(d.name)&gt;7,LEFT(d.name,7) &amp; "…",d.name),"")</f>
        <v>(S)Impleme…</v>
      </c>
      <c r="P29" s="70" t="s">
        <v>69</v>
      </c>
      <c r="Q29" s="73"/>
      <c r="R29" s="64"/>
      <c r="S29" s="62" cm="1">
        <f t="array" ref="S29">IFERROR(IF(ind.start&gt;0,ind.start,IF(ind.end&lt;&gt;"",plan_start_calculation,IF(d.id&lt;&gt;"",IF(OR(d.conn="FS",d.conn=""),fs_calculation,IF(d.conn="SS",ss_calculation,plan_start_calculation)),""))),"")</f>
        <v>45720</v>
      </c>
      <c r="T29" s="63" cm="1">
        <f t="array" ref="T29">IFERROR(IF(ind.start&lt;&gt;"",plan_end_calculation,IF(ind.end&lt;&gt;"",ind.end,IF(d.id&lt;&gt;"",IF(d.conn="SF",sf_calculation,IF(d.conn="FF",ff_calculation,plan_end_calculation)),""))),"")</f>
        <v>45720</v>
      </c>
      <c r="U29" s="109">
        <v>45701</v>
      </c>
      <c r="V29" s="110">
        <v>45701</v>
      </c>
      <c r="W29" s="114">
        <f>1*(SUM(W26:W28)=3)</f>
        <v>0</v>
      </c>
      <c r="X29" s="115">
        <v>0</v>
      </c>
      <c r="Y29" s="115">
        <v>0</v>
      </c>
      <c r="Z29" s="115">
        <v>0</v>
      </c>
      <c r="AA29" s="115">
        <v>0</v>
      </c>
      <c r="AB29" s="115">
        <v>0</v>
      </c>
      <c r="AC29" s="115">
        <v>0</v>
      </c>
      <c r="AD29" s="115">
        <v>0</v>
      </c>
      <c r="AE29" s="115">
        <v>0</v>
      </c>
      <c r="AF29" s="115">
        <v>0</v>
      </c>
      <c r="AG29" s="115">
        <v>0</v>
      </c>
      <c r="AH29" s="115">
        <v>0</v>
      </c>
      <c r="AI29" s="115">
        <v>0</v>
      </c>
      <c r="AJ29" s="115">
        <v>0</v>
      </c>
      <c r="AK29" s="115">
        <v>0</v>
      </c>
      <c r="AL29" s="115">
        <v>0</v>
      </c>
      <c r="AM29" s="115">
        <v>0</v>
      </c>
      <c r="AN29" s="115">
        <v>0</v>
      </c>
      <c r="AO29" s="115">
        <v>0</v>
      </c>
      <c r="AP29" s="115">
        <v>0</v>
      </c>
      <c r="AQ29" s="115">
        <v>0</v>
      </c>
      <c r="AR29" s="115">
        <v>0</v>
      </c>
      <c r="AS29" s="115">
        <v>0</v>
      </c>
      <c r="AT29" s="115">
        <v>0</v>
      </c>
      <c r="AU29" s="115">
        <v>0</v>
      </c>
      <c r="AV29" s="115">
        <v>0</v>
      </c>
      <c r="AW29" s="115">
        <v>0</v>
      </c>
      <c r="AX29" s="115">
        <v>0</v>
      </c>
      <c r="AY29" s="115">
        <v>0</v>
      </c>
      <c r="AZ29" s="115">
        <v>0</v>
      </c>
      <c r="BA29" s="115">
        <v>0</v>
      </c>
      <c r="BB29" s="115">
        <v>0</v>
      </c>
      <c r="BC29" s="115">
        <v>0</v>
      </c>
      <c r="BD29" s="115">
        <v>0</v>
      </c>
      <c r="BE29" s="115">
        <v>0</v>
      </c>
      <c r="BF29" s="115">
        <v>0</v>
      </c>
      <c r="BG29" s="115">
        <v>0</v>
      </c>
      <c r="BH29" s="115">
        <v>0</v>
      </c>
      <c r="BI29" s="115">
        <v>0</v>
      </c>
      <c r="BJ29" s="115">
        <v>0</v>
      </c>
      <c r="BK29" s="115">
        <v>0</v>
      </c>
      <c r="BL29" s="115">
        <v>0</v>
      </c>
      <c r="BM29" s="115">
        <v>0</v>
      </c>
      <c r="BN29" s="115">
        <v>0</v>
      </c>
    </row>
    <row r="30" spans="1:66" s="36" customFormat="1" ht="13.8">
      <c r="A30" s="77"/>
      <c r="B30" s="42">
        <f t="shared" si="2"/>
        <v>16</v>
      </c>
      <c r="C30" s="76">
        <f>IF(type&lt;&gt;"",IF(ROW(stage_id)=ROW($C$13)+2,1,IF(type="S",MAX(prev_col_range)+1,MAX(prev_col_range))),-1)</f>
        <v>4</v>
      </c>
      <c r="D30" s="78">
        <f>_xlfn.IFNA(IF(OR(type="T",type="M"),MATCH(role,Settings!$I$9:$I$16,0),-1),-1)</f>
        <v>-1</v>
      </c>
      <c r="E30" s="47" t="s">
        <v>37</v>
      </c>
      <c r="F30" s="43" t="s">
        <v>75</v>
      </c>
      <c r="H30" s="61" t="str" cm="1">
        <f t="array" ref="H30">_xlfn.IFNA(INDEX(Settings!$P$9:$P$30,MATCH(team_member,Settings!$N$9:$N$30,0),),"")</f>
        <v/>
      </c>
      <c r="I30" s="43"/>
      <c r="J30" s="44"/>
      <c r="K30" s="66">
        <f>MIN(S31:S34)</f>
        <v>45721</v>
      </c>
      <c r="L30" s="67"/>
      <c r="M30" s="47"/>
      <c r="N30" s="71" t="str">
        <f t="shared" si="3"/>
        <v/>
      </c>
      <c r="O30" s="72" t="str" cm="1">
        <f t="array" ref="O30">IFERROR("(" &amp;d.type&amp; ")" &amp; IF(LEN(d.name)&gt;7,LEFT(d.name,7) &amp; "…",d.name),"")</f>
        <v/>
      </c>
      <c r="P30" s="70" t="s">
        <v>67</v>
      </c>
      <c r="Q30" s="73"/>
      <c r="R30" s="64">
        <f>NETWORKDAYS(plan_start, MAX(T31:T34),)</f>
        <v>9</v>
      </c>
      <c r="S30" s="62" cm="1">
        <f t="array" ref="S30">IFERROR(IF(ind.start&gt;0,ind.start,IF(ind.end&lt;&gt;"",plan_start_calculation,IF(d.id&lt;&gt;"",IF(OR(d.conn="FS",d.conn=""),fs_calculation,IF(d.conn="SS",ss_calculation,plan_start_calculation)),""))),"")</f>
        <v>45721</v>
      </c>
      <c r="T30" s="63" cm="1">
        <f t="array" ref="T30">IFERROR(IF(ind.start&lt;&gt;"",plan_end_calculation,IF(ind.end&lt;&gt;"",ind.end,IF(d.id&lt;&gt;"",IF(d.conn="SF",sf_calculation,IF(d.conn="FF",ff_calculation,plan_end_calculation)),""))),"")</f>
        <v>45733</v>
      </c>
      <c r="U30" s="109">
        <v>45702</v>
      </c>
      <c r="V30" s="110">
        <v>45714</v>
      </c>
      <c r="W30" s="114" cm="1">
        <f t="array" ref="W30">SUM(W31:W34*R31:R34)/SUM(R31:R34)</f>
        <v>0</v>
      </c>
      <c r="X30" s="115">
        <v>0</v>
      </c>
      <c r="Y30" s="115">
        <v>0</v>
      </c>
      <c r="Z30" s="115">
        <v>0</v>
      </c>
      <c r="AA30" s="115">
        <v>0</v>
      </c>
      <c r="AB30" s="115">
        <v>0</v>
      </c>
      <c r="AC30" s="115">
        <v>0</v>
      </c>
      <c r="AD30" s="115">
        <v>0</v>
      </c>
      <c r="AE30" s="115">
        <v>0</v>
      </c>
      <c r="AF30" s="115">
        <v>0</v>
      </c>
      <c r="AG30" s="115">
        <v>0</v>
      </c>
      <c r="AH30" s="115">
        <v>0</v>
      </c>
      <c r="AI30" s="115">
        <v>0</v>
      </c>
      <c r="AJ30" s="115">
        <v>0</v>
      </c>
      <c r="AK30" s="115">
        <v>0</v>
      </c>
      <c r="AL30" s="115">
        <v>0</v>
      </c>
      <c r="AM30" s="115">
        <v>0</v>
      </c>
      <c r="AN30" s="115">
        <v>0</v>
      </c>
      <c r="AO30" s="115">
        <v>0</v>
      </c>
      <c r="AP30" s="115">
        <v>0</v>
      </c>
      <c r="AQ30" s="115">
        <v>0</v>
      </c>
      <c r="AR30" s="115">
        <v>0</v>
      </c>
      <c r="AS30" s="115">
        <v>0</v>
      </c>
      <c r="AT30" s="115">
        <v>0</v>
      </c>
      <c r="AU30" s="115">
        <v>0</v>
      </c>
      <c r="AV30" s="115">
        <v>0</v>
      </c>
      <c r="AW30" s="115">
        <v>0</v>
      </c>
      <c r="AX30" s="115">
        <v>0</v>
      </c>
      <c r="AY30" s="115">
        <v>0</v>
      </c>
      <c r="AZ30" s="115">
        <v>0</v>
      </c>
      <c r="BA30" s="115">
        <v>0</v>
      </c>
      <c r="BB30" s="115">
        <v>0</v>
      </c>
      <c r="BC30" s="115">
        <v>0</v>
      </c>
      <c r="BD30" s="115">
        <v>0</v>
      </c>
      <c r="BE30" s="115">
        <v>0</v>
      </c>
      <c r="BF30" s="115">
        <v>0</v>
      </c>
      <c r="BG30" s="115">
        <v>0</v>
      </c>
      <c r="BH30" s="115">
        <v>0</v>
      </c>
      <c r="BI30" s="115">
        <v>0</v>
      </c>
      <c r="BJ30" s="115">
        <v>0</v>
      </c>
      <c r="BK30" s="115">
        <v>0</v>
      </c>
      <c r="BL30" s="115">
        <v>0</v>
      </c>
      <c r="BM30" s="115">
        <v>0</v>
      </c>
      <c r="BN30" s="115">
        <v>0</v>
      </c>
    </row>
    <row r="31" spans="1:66" s="36" customFormat="1" ht="13.8">
      <c r="A31" s="77"/>
      <c r="B31" s="42">
        <f t="shared" si="2"/>
        <v>17</v>
      </c>
      <c r="C31" s="76">
        <f>IF(type&lt;&gt;"",IF(ROW(stage_id)=ROW($C$13)+2,1,IF(type="S",MAX(prev_col_range)+1,MAX(prev_col_range))),-1)</f>
        <v>4</v>
      </c>
      <c r="D31" s="78">
        <f>_xlfn.IFNA(IF(OR(type="T",type="M"),MATCH(role,Settings!$I$9:$I$16,0),-1),-1)</f>
        <v>-1</v>
      </c>
      <c r="E31" s="47" t="s">
        <v>39</v>
      </c>
      <c r="F31" s="43" t="s">
        <v>71</v>
      </c>
      <c r="H31" s="61" t="str" cm="1">
        <f t="array" ref="H31">_xlfn.IFNA(INDEX(Settings!$P$9:$P$30,MATCH(team_member,Settings!$N$9:$N$30,0),),"")</f>
        <v/>
      </c>
      <c r="I31" s="43"/>
      <c r="J31" s="44"/>
      <c r="K31" s="66"/>
      <c r="L31" s="67"/>
      <c r="M31" s="47">
        <f>B25</f>
        <v>11</v>
      </c>
      <c r="N31" s="71" t="str">
        <f t="shared" si="3"/>
        <v>↖</v>
      </c>
      <c r="O31" s="72" t="str" cm="1">
        <f t="array" ref="O31">IFERROR("(" &amp;d.type&amp; ")" &amp; IF(LEN(d.name)&gt;7,LEFT(d.name,7) &amp; "…",d.name),"")</f>
        <v>(S)Rollout…</v>
      </c>
      <c r="P31" s="70" t="s">
        <v>67</v>
      </c>
      <c r="Q31" s="73"/>
      <c r="R31" s="64">
        <v>3</v>
      </c>
      <c r="S31" s="62" cm="1">
        <f t="array" ref="S31">IFERROR(IF(ind.start&gt;0,ind.start,IF(ind.end&lt;&gt;"",plan_start_calculation,IF(d.id&lt;&gt;"",IF(OR(d.conn="FS",d.conn=""),fs_calculation,IF(d.conn="SS",ss_calculation,plan_start_calculation)),""))),"")</f>
        <v>45721</v>
      </c>
      <c r="T31" s="63" cm="1">
        <f t="array" ref="T31">IFERROR(IF(ind.start&lt;&gt;"",plan_end_calculation,IF(ind.end&lt;&gt;"",ind.end,IF(d.id&lt;&gt;"",IF(d.conn="SF",sf_calculation,IF(d.conn="FF",ff_calculation,plan_end_calculation)),""))),"")</f>
        <v>45723</v>
      </c>
      <c r="U31" s="109">
        <v>45702</v>
      </c>
      <c r="V31" s="110">
        <v>45706</v>
      </c>
      <c r="W31" s="114"/>
      <c r="X31" s="115">
        <v>0</v>
      </c>
      <c r="Y31" s="115">
        <v>0</v>
      </c>
      <c r="Z31" s="115">
        <v>0</v>
      </c>
      <c r="AA31" s="115">
        <v>0</v>
      </c>
      <c r="AB31" s="115">
        <v>0</v>
      </c>
      <c r="AC31" s="115">
        <v>0</v>
      </c>
      <c r="AD31" s="115">
        <v>0</v>
      </c>
      <c r="AE31" s="115">
        <v>0</v>
      </c>
      <c r="AF31" s="115">
        <v>0</v>
      </c>
      <c r="AG31" s="115">
        <v>0</v>
      </c>
      <c r="AH31" s="115">
        <v>0</v>
      </c>
      <c r="AI31" s="115">
        <v>0</v>
      </c>
      <c r="AJ31" s="115">
        <v>0</v>
      </c>
      <c r="AK31" s="115">
        <v>0</v>
      </c>
      <c r="AL31" s="115">
        <v>0</v>
      </c>
      <c r="AM31" s="115">
        <v>0</v>
      </c>
      <c r="AN31" s="115">
        <v>0</v>
      </c>
      <c r="AO31" s="115">
        <v>0</v>
      </c>
      <c r="AP31" s="115">
        <v>0</v>
      </c>
      <c r="AQ31" s="115">
        <v>0</v>
      </c>
      <c r="AR31" s="115">
        <v>0</v>
      </c>
      <c r="AS31" s="115">
        <v>0</v>
      </c>
      <c r="AT31" s="115">
        <v>0</v>
      </c>
      <c r="AU31" s="115">
        <v>0</v>
      </c>
      <c r="AV31" s="115">
        <v>0</v>
      </c>
      <c r="AW31" s="115">
        <v>0</v>
      </c>
      <c r="AX31" s="115">
        <v>0</v>
      </c>
      <c r="AY31" s="115">
        <v>0</v>
      </c>
      <c r="AZ31" s="115">
        <v>0</v>
      </c>
      <c r="BA31" s="115">
        <v>0</v>
      </c>
      <c r="BB31" s="115">
        <v>0</v>
      </c>
      <c r="BC31" s="115">
        <v>0</v>
      </c>
      <c r="BD31" s="115">
        <v>0</v>
      </c>
      <c r="BE31" s="115">
        <v>0</v>
      </c>
      <c r="BF31" s="115">
        <v>0</v>
      </c>
      <c r="BG31" s="115">
        <v>0</v>
      </c>
      <c r="BH31" s="115">
        <v>0</v>
      </c>
      <c r="BI31" s="115">
        <v>0</v>
      </c>
      <c r="BJ31" s="115">
        <v>0</v>
      </c>
      <c r="BK31" s="115">
        <v>0</v>
      </c>
      <c r="BL31" s="115">
        <v>0</v>
      </c>
      <c r="BM31" s="115">
        <v>0</v>
      </c>
      <c r="BN31" s="115">
        <v>0</v>
      </c>
    </row>
    <row r="32" spans="1:66" s="36" customFormat="1" ht="13.8">
      <c r="A32" s="77"/>
      <c r="B32" s="42">
        <f t="shared" si="2"/>
        <v>18</v>
      </c>
      <c r="C32" s="76">
        <f>IF(type&lt;&gt;"",IF(ROW(stage_id)=ROW($C$13)+2,1,IF(type="S",MAX(prev_col_range)+1,MAX(prev_col_range))),-1)</f>
        <v>4</v>
      </c>
      <c r="D32" s="78">
        <f>_xlfn.IFNA(IF(OR(type="T",type="M"),MATCH(role,Settings!$I$9:$I$16,0),-1),-1)</f>
        <v>-1</v>
      </c>
      <c r="E32" s="47" t="s">
        <v>39</v>
      </c>
      <c r="F32" s="43" t="s">
        <v>72</v>
      </c>
      <c r="H32" s="61" t="str" cm="1">
        <f t="array" ref="H32">_xlfn.IFNA(INDEX(Settings!$P$9:$P$30,MATCH(team_member,Settings!$N$9:$N$30,0),),"")</f>
        <v/>
      </c>
      <c r="I32" s="43"/>
      <c r="J32" s="44"/>
      <c r="K32" s="66"/>
      <c r="L32" s="67"/>
      <c r="M32" s="47">
        <f>B31</f>
        <v>17</v>
      </c>
      <c r="N32" s="71" t="str">
        <f t="shared" si="3"/>
        <v>↖</v>
      </c>
      <c r="O32" s="72" t="str" cm="1">
        <f t="array" ref="O32">IFERROR("(" &amp;d.type&amp; ")" &amp; IF(LEN(d.name)&gt;7,LEFT(d.name,7) &amp; "…",d.name),"")</f>
        <v>(T)Task RP…</v>
      </c>
      <c r="P32" s="70" t="s">
        <v>67</v>
      </c>
      <c r="Q32" s="73"/>
      <c r="R32" s="64">
        <v>3</v>
      </c>
      <c r="S32" s="62" cm="1">
        <f t="array" ref="S32">IFERROR(IF(ind.start&gt;0,ind.start,IF(ind.end&lt;&gt;"",plan_start_calculation,IF(d.id&lt;&gt;"",IF(OR(d.conn="FS",d.conn=""),fs_calculation,IF(d.conn="SS",ss_calculation,plan_start_calculation)),""))),"")</f>
        <v>45726</v>
      </c>
      <c r="T32" s="63" cm="1">
        <f t="array" ref="T32">IFERROR(IF(ind.start&lt;&gt;"",plan_end_calculation,IF(ind.end&lt;&gt;"",ind.end,IF(d.id&lt;&gt;"",IF(d.conn="SF",sf_calculation,IF(d.conn="FF",ff_calculation,plan_end_calculation)),""))),"")</f>
        <v>45728</v>
      </c>
      <c r="U32" s="109">
        <v>45707</v>
      </c>
      <c r="V32" s="110">
        <v>45709</v>
      </c>
      <c r="W32" s="114"/>
      <c r="X32" s="115">
        <v>0</v>
      </c>
      <c r="Y32" s="115">
        <v>0</v>
      </c>
      <c r="Z32" s="115">
        <v>0</v>
      </c>
      <c r="AA32" s="115">
        <v>0</v>
      </c>
      <c r="AB32" s="115">
        <v>0</v>
      </c>
      <c r="AC32" s="115">
        <v>0</v>
      </c>
      <c r="AD32" s="115">
        <v>0</v>
      </c>
      <c r="AE32" s="115">
        <v>0</v>
      </c>
      <c r="AF32" s="115">
        <v>0</v>
      </c>
      <c r="AG32" s="115">
        <v>0</v>
      </c>
      <c r="AH32" s="115">
        <v>0</v>
      </c>
      <c r="AI32" s="115">
        <v>0</v>
      </c>
      <c r="AJ32" s="115">
        <v>0</v>
      </c>
      <c r="AK32" s="115">
        <v>0</v>
      </c>
      <c r="AL32" s="115">
        <v>0</v>
      </c>
      <c r="AM32" s="115">
        <v>0</v>
      </c>
      <c r="AN32" s="115">
        <v>0</v>
      </c>
      <c r="AO32" s="115">
        <v>0</v>
      </c>
      <c r="AP32" s="115">
        <v>0</v>
      </c>
      <c r="AQ32" s="115">
        <v>0</v>
      </c>
      <c r="AR32" s="115">
        <v>0</v>
      </c>
      <c r="AS32" s="115">
        <v>0</v>
      </c>
      <c r="AT32" s="115">
        <v>0</v>
      </c>
      <c r="AU32" s="115">
        <v>0</v>
      </c>
      <c r="AV32" s="115">
        <v>0</v>
      </c>
      <c r="AW32" s="115">
        <v>0</v>
      </c>
      <c r="AX32" s="115">
        <v>0</v>
      </c>
      <c r="AY32" s="115">
        <v>0</v>
      </c>
      <c r="AZ32" s="115">
        <v>0</v>
      </c>
      <c r="BA32" s="115">
        <v>0</v>
      </c>
      <c r="BB32" s="115">
        <v>0</v>
      </c>
      <c r="BC32" s="115">
        <v>0</v>
      </c>
      <c r="BD32" s="115">
        <v>0</v>
      </c>
      <c r="BE32" s="115">
        <v>0</v>
      </c>
      <c r="BF32" s="115">
        <v>0</v>
      </c>
      <c r="BG32" s="115">
        <v>0</v>
      </c>
      <c r="BH32" s="115">
        <v>0</v>
      </c>
      <c r="BI32" s="115">
        <v>0</v>
      </c>
      <c r="BJ32" s="115">
        <v>0</v>
      </c>
      <c r="BK32" s="115">
        <v>0</v>
      </c>
      <c r="BL32" s="115">
        <v>0</v>
      </c>
      <c r="BM32" s="115">
        <v>0</v>
      </c>
      <c r="BN32" s="115">
        <v>0</v>
      </c>
    </row>
    <row r="33" spans="1:66" s="36" customFormat="1" ht="13.8">
      <c r="A33" s="77"/>
      <c r="B33" s="42">
        <f t="shared" si="2"/>
        <v>19</v>
      </c>
      <c r="C33" s="76">
        <f>IF(type&lt;&gt;"",IF(ROW(stage_id)=ROW($C$13)+2,1,IF(type="S",MAX(prev_col_range)+1,MAX(prev_col_range))),-1)</f>
        <v>4</v>
      </c>
      <c r="D33" s="78">
        <f>_xlfn.IFNA(IF(OR(type="T",type="M"),MATCH(role,Settings!$I$9:$I$16,0),-1),-1)</f>
        <v>-1</v>
      </c>
      <c r="E33" s="47" t="s">
        <v>39</v>
      </c>
      <c r="F33" s="43" t="s">
        <v>73</v>
      </c>
      <c r="H33" s="61" t="str" cm="1">
        <f t="array" ref="H33">_xlfn.IFNA(INDEX(Settings!$P$9:$P$30,MATCH(team_member,Settings!$N$9:$N$30,0),),"")</f>
        <v/>
      </c>
      <c r="I33" s="43"/>
      <c r="J33" s="44"/>
      <c r="K33" s="66"/>
      <c r="L33" s="67"/>
      <c r="M33" s="47">
        <f t="shared" ref="M33:M34" si="5">B32</f>
        <v>18</v>
      </c>
      <c r="N33" s="71" t="str">
        <f t="shared" si="3"/>
        <v>↖</v>
      </c>
      <c r="O33" s="72" t="str" cm="1">
        <f t="array" ref="O33">IFERROR("(" &amp;d.type&amp; ")" &amp; IF(LEN(d.name)&gt;7,LEFT(d.name,7) &amp; "…",d.name),"")</f>
        <v>(T)Task RP…</v>
      </c>
      <c r="P33" s="70" t="s">
        <v>67</v>
      </c>
      <c r="Q33" s="73"/>
      <c r="R33" s="64">
        <v>3</v>
      </c>
      <c r="S33" s="62" cm="1">
        <f t="array" ref="S33">IFERROR(IF(ind.start&gt;0,ind.start,IF(ind.end&lt;&gt;"",plan_start_calculation,IF(d.id&lt;&gt;"",IF(OR(d.conn="FS",d.conn=""),fs_calculation,IF(d.conn="SS",ss_calculation,plan_start_calculation)),""))),"")</f>
        <v>45729</v>
      </c>
      <c r="T33" s="63" cm="1">
        <f t="array" ref="T33">IFERROR(IF(ind.start&lt;&gt;"",plan_end_calculation,IF(ind.end&lt;&gt;"",ind.end,IF(d.id&lt;&gt;"",IF(d.conn="SF",sf_calculation,IF(d.conn="FF",ff_calculation,plan_end_calculation)),""))),"")</f>
        <v>45733</v>
      </c>
      <c r="U33" s="109">
        <v>45712</v>
      </c>
      <c r="V33" s="110">
        <v>45714</v>
      </c>
      <c r="W33" s="114"/>
      <c r="X33" s="115">
        <v>0</v>
      </c>
      <c r="Y33" s="115">
        <v>0</v>
      </c>
      <c r="Z33" s="115">
        <v>0</v>
      </c>
      <c r="AA33" s="115">
        <v>0</v>
      </c>
      <c r="AB33" s="115">
        <v>0</v>
      </c>
      <c r="AC33" s="115">
        <v>0</v>
      </c>
      <c r="AD33" s="115">
        <v>0</v>
      </c>
      <c r="AE33" s="115">
        <v>0</v>
      </c>
      <c r="AF33" s="115">
        <v>0</v>
      </c>
      <c r="AG33" s="115">
        <v>0</v>
      </c>
      <c r="AH33" s="115">
        <v>0</v>
      </c>
      <c r="AI33" s="115">
        <v>0</v>
      </c>
      <c r="AJ33" s="115">
        <v>0</v>
      </c>
      <c r="AK33" s="115">
        <v>0</v>
      </c>
      <c r="AL33" s="115">
        <v>0</v>
      </c>
      <c r="AM33" s="115">
        <v>0</v>
      </c>
      <c r="AN33" s="115">
        <v>0</v>
      </c>
      <c r="AO33" s="115">
        <v>0</v>
      </c>
      <c r="AP33" s="115">
        <v>0</v>
      </c>
      <c r="AQ33" s="115">
        <v>0</v>
      </c>
      <c r="AR33" s="115">
        <v>0</v>
      </c>
      <c r="AS33" s="115">
        <v>0</v>
      </c>
      <c r="AT33" s="115">
        <v>0</v>
      </c>
      <c r="AU33" s="115">
        <v>0</v>
      </c>
      <c r="AV33" s="115">
        <v>0</v>
      </c>
      <c r="AW33" s="115">
        <v>0</v>
      </c>
      <c r="AX33" s="115">
        <v>0</v>
      </c>
      <c r="AY33" s="115">
        <v>0</v>
      </c>
      <c r="AZ33" s="115">
        <v>0</v>
      </c>
      <c r="BA33" s="115">
        <v>0</v>
      </c>
      <c r="BB33" s="115">
        <v>0</v>
      </c>
      <c r="BC33" s="115">
        <v>0</v>
      </c>
      <c r="BD33" s="115">
        <v>0</v>
      </c>
      <c r="BE33" s="115">
        <v>0</v>
      </c>
      <c r="BF33" s="115">
        <v>0</v>
      </c>
      <c r="BG33" s="115">
        <v>0</v>
      </c>
      <c r="BH33" s="115">
        <v>0</v>
      </c>
      <c r="BI33" s="115">
        <v>0</v>
      </c>
      <c r="BJ33" s="115">
        <v>0</v>
      </c>
      <c r="BK33" s="115">
        <v>0</v>
      </c>
      <c r="BL33" s="115">
        <v>0</v>
      </c>
      <c r="BM33" s="115">
        <v>0</v>
      </c>
      <c r="BN33" s="115">
        <v>0</v>
      </c>
    </row>
    <row r="34" spans="1:66" s="36" customFormat="1" ht="13.8">
      <c r="A34" s="77"/>
      <c r="B34" s="42">
        <f t="shared" si="2"/>
        <v>20</v>
      </c>
      <c r="C34" s="76">
        <f>IF(type&lt;&gt;"",IF(ROW(stage_id)=ROW($C$13)+2,1,IF(type="S",MAX(prev_col_range)+1,MAX(prev_col_range))),-1)</f>
        <v>4</v>
      </c>
      <c r="D34" s="78">
        <f>_xlfn.IFNA(IF(OR(type="T",type="M"),MATCH(role,Settings!$I$9:$I$16,0),-1),-1)</f>
        <v>-1</v>
      </c>
      <c r="E34" s="47" t="s">
        <v>40</v>
      </c>
      <c r="F34" s="45" t="s">
        <v>76</v>
      </c>
      <c r="H34" s="61" t="str" cm="1">
        <f t="array" ref="H34">_xlfn.IFNA(INDEX(Settings!$P$9:$P$30,MATCH(team_member,Settings!$N$9:$N$30,0),),"")</f>
        <v/>
      </c>
      <c r="I34" s="45"/>
      <c r="J34" s="46"/>
      <c r="K34" s="68"/>
      <c r="L34" s="69"/>
      <c r="M34" s="47">
        <f t="shared" si="5"/>
        <v>19</v>
      </c>
      <c r="N34" s="71" t="str">
        <f t="shared" si="3"/>
        <v>↖</v>
      </c>
      <c r="O34" s="72" t="str" cm="1">
        <f t="array" ref="O34">IFERROR("(" &amp;d.type&amp; ")" &amp; IF(LEN(d.name)&gt;7,LEFT(d.name,7) &amp; "…",d.name),"")</f>
        <v>(T)Task RP…</v>
      </c>
      <c r="P34" s="70" t="s">
        <v>69</v>
      </c>
      <c r="Q34" s="74"/>
      <c r="R34" s="65"/>
      <c r="S34" s="62" cm="1">
        <f t="array" ref="S34">IFERROR(IF(ind.start&gt;0,ind.start,IF(ind.end&lt;&gt;"",plan_start_calculation,IF(d.id&lt;&gt;"",IF(OR(d.conn="FS",d.conn=""),fs_calculation,IF(d.conn="SS",ss_calculation,plan_start_calculation)),""))),"")</f>
        <v>45733</v>
      </c>
      <c r="T34" s="63" cm="1">
        <f t="array" ref="T34">IFERROR(IF(ind.start&lt;&gt;"",plan_end_calculation,IF(ind.end&lt;&gt;"",ind.end,IF(d.id&lt;&gt;"",IF(d.conn="SF",sf_calculation,IF(d.conn="FF",ff_calculation,plan_end_calculation)),""))),"")</f>
        <v>45733</v>
      </c>
      <c r="U34" s="111">
        <v>45714</v>
      </c>
      <c r="V34" s="112">
        <v>45714</v>
      </c>
      <c r="W34" s="114">
        <f>1*(SUM(W31:W33)=3)</f>
        <v>0</v>
      </c>
      <c r="X34" s="115">
        <v>0</v>
      </c>
      <c r="Y34" s="115">
        <v>0</v>
      </c>
      <c r="Z34" s="115">
        <v>0</v>
      </c>
      <c r="AA34" s="115">
        <v>0</v>
      </c>
      <c r="AB34" s="115">
        <v>0</v>
      </c>
      <c r="AC34" s="115">
        <v>0</v>
      </c>
      <c r="AD34" s="115">
        <v>0</v>
      </c>
      <c r="AE34" s="115">
        <v>0</v>
      </c>
      <c r="AF34" s="115">
        <v>0</v>
      </c>
      <c r="AG34" s="115">
        <v>0</v>
      </c>
      <c r="AH34" s="115">
        <v>0</v>
      </c>
      <c r="AI34" s="115">
        <v>0</v>
      </c>
      <c r="AJ34" s="115">
        <v>0</v>
      </c>
      <c r="AK34" s="115">
        <v>0</v>
      </c>
      <c r="AL34" s="115">
        <v>0</v>
      </c>
      <c r="AM34" s="115">
        <v>0</v>
      </c>
      <c r="AN34" s="115">
        <v>0</v>
      </c>
      <c r="AO34" s="115">
        <v>0</v>
      </c>
      <c r="AP34" s="115">
        <v>0</v>
      </c>
      <c r="AQ34" s="115">
        <v>0</v>
      </c>
      <c r="AR34" s="115">
        <v>0</v>
      </c>
      <c r="AS34" s="115">
        <v>0</v>
      </c>
      <c r="AT34" s="115">
        <v>0</v>
      </c>
      <c r="AU34" s="115">
        <v>0</v>
      </c>
      <c r="AV34" s="115">
        <v>0</v>
      </c>
      <c r="AW34" s="115">
        <v>0</v>
      </c>
      <c r="AX34" s="115">
        <v>0</v>
      </c>
      <c r="AY34" s="115">
        <v>0</v>
      </c>
      <c r="AZ34" s="115">
        <v>0</v>
      </c>
      <c r="BA34" s="115">
        <v>0</v>
      </c>
      <c r="BB34" s="115">
        <v>0</v>
      </c>
      <c r="BC34" s="115">
        <v>0</v>
      </c>
      <c r="BD34" s="115">
        <v>0</v>
      </c>
      <c r="BE34" s="115">
        <v>0</v>
      </c>
      <c r="BF34" s="115">
        <v>0</v>
      </c>
      <c r="BG34" s="115">
        <v>0</v>
      </c>
      <c r="BH34" s="115">
        <v>0</v>
      </c>
      <c r="BI34" s="115">
        <v>0</v>
      </c>
      <c r="BJ34" s="115">
        <v>0</v>
      </c>
      <c r="BK34" s="115">
        <v>0</v>
      </c>
      <c r="BL34" s="115">
        <v>0</v>
      </c>
      <c r="BM34" s="115">
        <v>0</v>
      </c>
      <c r="BN34" s="115">
        <v>0</v>
      </c>
    </row>
    <row r="35" spans="1:66" s="36" customFormat="1" ht="13.8">
      <c r="A35" s="77"/>
      <c r="B35" s="42">
        <f t="shared" si="2"/>
        <v>21</v>
      </c>
      <c r="C35" s="76">
        <f>IF(type&lt;&gt;"",IF(ROW(stage_id)=ROW($C$13)+2,1,IF(type="S",MAX(prev_col_range)+1,MAX(prev_col_range))),-1)</f>
        <v>5</v>
      </c>
      <c r="D35" s="78">
        <f>_xlfn.IFNA(IF(OR(type="T",type="M"),MATCH(role,Settings!$I$9:$I$16,0),-1),-1)</f>
        <v>-1</v>
      </c>
      <c r="E35" s="47" t="s">
        <v>37</v>
      </c>
      <c r="F35" s="45"/>
      <c r="H35" s="61" t="str" cm="1">
        <f t="array" ref="H35">_xlfn.IFNA(INDEX(Settings!$P$9:$P$30,MATCH(team_member,Settings!$N$9:$N$30,0),),"")</f>
        <v/>
      </c>
      <c r="I35" s="45"/>
      <c r="J35" s="46"/>
      <c r="K35" s="68"/>
      <c r="L35" s="69"/>
      <c r="M35" s="47"/>
      <c r="N35" s="71" t="str">
        <f t="shared" si="3"/>
        <v/>
      </c>
      <c r="O35" s="72" t="str" cm="1">
        <f t="array" ref="O35">IFERROR("(" &amp;d.type&amp; ")" &amp; IF(LEN(d.name)&gt;7,LEFT(d.name,7) &amp; "…",d.name),"")</f>
        <v/>
      </c>
      <c r="P35" s="70" t="s">
        <v>69</v>
      </c>
      <c r="Q35" s="74"/>
      <c r="R35" s="65"/>
      <c r="S35" s="62" t="str" cm="1">
        <f t="array" ref="S35">IFERROR(IF(ind.start&gt;0,ind.start,IF(ind.end&lt;&gt;"",plan_start_calculation,IF(d.id&lt;&gt;"",IF(OR(d.conn="FS",d.conn=""),fs_calculation,IF(d.conn="SS",ss_calculation,plan_start_calculation)),""))),"")</f>
        <v/>
      </c>
      <c r="T35" s="63" t="str" cm="1">
        <f t="array" ref="T35">IFERROR(IF(ind.start&lt;&gt;"",plan_end_calculation,IF(ind.end&lt;&gt;"",ind.end,IF(d.id&lt;&gt;"",IF(d.conn="SF",sf_calculation,IF(d.conn="FF",ff_calculation,plan_end_calculation)),""))),"")</f>
        <v/>
      </c>
      <c r="U35" s="111">
        <v>45714</v>
      </c>
      <c r="V35" s="112">
        <v>45714</v>
      </c>
      <c r="W35" s="114">
        <f>1*(SUM(W32:W34)=3)</f>
        <v>0</v>
      </c>
      <c r="X35" s="115">
        <v>0</v>
      </c>
      <c r="Y35" s="115">
        <v>0</v>
      </c>
      <c r="Z35" s="115">
        <v>0</v>
      </c>
      <c r="AA35" s="115">
        <v>0</v>
      </c>
      <c r="AB35" s="115">
        <v>0</v>
      </c>
      <c r="AC35" s="115">
        <v>0</v>
      </c>
      <c r="AD35" s="115">
        <v>0</v>
      </c>
      <c r="AE35" s="115">
        <v>0</v>
      </c>
      <c r="AF35" s="115">
        <v>0</v>
      </c>
      <c r="AG35" s="115">
        <v>0</v>
      </c>
      <c r="AH35" s="115">
        <v>0</v>
      </c>
      <c r="AI35" s="115">
        <v>0</v>
      </c>
      <c r="AJ35" s="115">
        <v>0</v>
      </c>
      <c r="AK35" s="115">
        <v>0</v>
      </c>
      <c r="AL35" s="115">
        <v>0</v>
      </c>
      <c r="AM35" s="115">
        <v>0</v>
      </c>
      <c r="AN35" s="115">
        <v>0</v>
      </c>
      <c r="AO35" s="115">
        <v>0</v>
      </c>
      <c r="AP35" s="115">
        <v>0</v>
      </c>
      <c r="AQ35" s="115">
        <v>0</v>
      </c>
      <c r="AR35" s="115">
        <v>0</v>
      </c>
      <c r="AS35" s="115">
        <v>0</v>
      </c>
      <c r="AT35" s="115">
        <v>0</v>
      </c>
      <c r="AU35" s="115">
        <v>0</v>
      </c>
      <c r="AV35" s="115">
        <v>0</v>
      </c>
      <c r="AW35" s="115">
        <v>0</v>
      </c>
      <c r="AX35" s="115">
        <v>0</v>
      </c>
      <c r="AY35" s="115">
        <v>0</v>
      </c>
      <c r="AZ35" s="115">
        <v>0</v>
      </c>
      <c r="BA35" s="115">
        <v>0</v>
      </c>
      <c r="BB35" s="115">
        <v>0</v>
      </c>
      <c r="BC35" s="115">
        <v>0</v>
      </c>
      <c r="BD35" s="115">
        <v>0</v>
      </c>
      <c r="BE35" s="115">
        <v>0</v>
      </c>
      <c r="BF35" s="115">
        <v>0</v>
      </c>
      <c r="BG35" s="115">
        <v>0</v>
      </c>
      <c r="BH35" s="115">
        <v>0</v>
      </c>
      <c r="BI35" s="115">
        <v>0</v>
      </c>
      <c r="BJ35" s="115">
        <v>0</v>
      </c>
      <c r="BK35" s="115">
        <v>0</v>
      </c>
      <c r="BL35" s="115">
        <v>0</v>
      </c>
      <c r="BM35" s="115">
        <v>0</v>
      </c>
      <c r="BN35" s="115">
        <v>0</v>
      </c>
    </row>
  </sheetData>
  <mergeCells count="67">
    <mergeCell ref="BI5:BN5"/>
    <mergeCell ref="BI6:BN6"/>
    <mergeCell ref="AG5:AL5"/>
    <mergeCell ref="AG6:AL6"/>
    <mergeCell ref="AP5:AU5"/>
    <mergeCell ref="AP6:AU6"/>
    <mergeCell ref="X2:AD2"/>
    <mergeCell ref="AF2:AJ2"/>
    <mergeCell ref="AL2:AP2"/>
    <mergeCell ref="AQ2:AR2"/>
    <mergeCell ref="BM10:BM12"/>
    <mergeCell ref="AU10:AU12"/>
    <mergeCell ref="AV10:AV12"/>
    <mergeCell ref="AW10:AW12"/>
    <mergeCell ref="AX10:AX12"/>
    <mergeCell ref="AY10:AY12"/>
    <mergeCell ref="AZ10:AZ12"/>
    <mergeCell ref="AO10:AO12"/>
    <mergeCell ref="AP10:AP12"/>
    <mergeCell ref="AQ10:AQ12"/>
    <mergeCell ref="AR10:AR12"/>
    <mergeCell ref="AS10:AS12"/>
    <mergeCell ref="BN10:BN12"/>
    <mergeCell ref="BI2:BN2"/>
    <mergeCell ref="AT2:AZ2"/>
    <mergeCell ref="BA2:BE2"/>
    <mergeCell ref="BG10:BG12"/>
    <mergeCell ref="BH10:BH12"/>
    <mergeCell ref="BI10:BI12"/>
    <mergeCell ref="BJ10:BJ12"/>
    <mergeCell ref="BK10:BK12"/>
    <mergeCell ref="BL10:BL12"/>
    <mergeCell ref="BA10:BA12"/>
    <mergeCell ref="BB10:BB12"/>
    <mergeCell ref="BC10:BC12"/>
    <mergeCell ref="BD10:BD12"/>
    <mergeCell ref="BE10:BE12"/>
    <mergeCell ref="BF10:BF12"/>
    <mergeCell ref="AT10:AT12"/>
    <mergeCell ref="AI10:AI12"/>
    <mergeCell ref="AJ10:AJ12"/>
    <mergeCell ref="AK10:AK12"/>
    <mergeCell ref="AL10:AL12"/>
    <mergeCell ref="AM10:AM12"/>
    <mergeCell ref="AN10:AN12"/>
    <mergeCell ref="AH10:AH12"/>
    <mergeCell ref="N13:O13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X5:AC5"/>
    <mergeCell ref="X6:AC6"/>
    <mergeCell ref="B12:D12"/>
    <mergeCell ref="E12:J12"/>
    <mergeCell ref="K10:T10"/>
    <mergeCell ref="U10:V10"/>
    <mergeCell ref="U11:V11"/>
    <mergeCell ref="K11:T11"/>
    <mergeCell ref="U12:V12"/>
    <mergeCell ref="K12:T12"/>
  </mergeCells>
  <conditionalFormatting sqref="B15:BN35">
    <cfRule type="expression" dxfId="64" priority="4">
      <formula>type="S"</formula>
    </cfRule>
  </conditionalFormatting>
  <conditionalFormatting sqref="F15:F35">
    <cfRule type="expression" dxfId="63" priority="68">
      <formula>OR(type="T",type="M")</formula>
    </cfRule>
  </conditionalFormatting>
  <conditionalFormatting sqref="G15:G35">
    <cfRule type="expression" dxfId="62" priority="11" stopIfTrue="1">
      <formula>OR(color_code=901,color_code=902)</formula>
    </cfRule>
    <cfRule type="expression" dxfId="61" priority="33" stopIfTrue="1">
      <formula>OR(color_code=101,color_code=104)</formula>
    </cfRule>
    <cfRule type="expression" dxfId="60" priority="34" stopIfTrue="1">
      <formula>OR(color_code=102, color_code=103)</formula>
    </cfRule>
    <cfRule type="expression" dxfId="59" priority="35" stopIfTrue="1">
      <formula>OR(color_code=201,color_code=204)</formula>
    </cfRule>
    <cfRule type="expression" dxfId="58" priority="36" stopIfTrue="1">
      <formula>OR(color_code=202, color_code=203)</formula>
    </cfRule>
    <cfRule type="expression" dxfId="57" priority="37" stopIfTrue="1">
      <formula>OR(color_code=301,color_code=304)</formula>
    </cfRule>
    <cfRule type="expression" dxfId="56" priority="38" stopIfTrue="1">
      <formula>OR(color_code=302, color_code=303)</formula>
    </cfRule>
    <cfRule type="expression" dxfId="55" priority="39" stopIfTrue="1">
      <formula>OR(color_code=401,color_code=404)</formula>
    </cfRule>
    <cfRule type="expression" dxfId="54" priority="40" stopIfTrue="1">
      <formula>OR(color_code=402, color_code=403)</formula>
    </cfRule>
    <cfRule type="expression" dxfId="53" priority="41" stopIfTrue="1">
      <formula>OR(color_code=501,color_code=504)</formula>
    </cfRule>
    <cfRule type="expression" dxfId="52" priority="42" stopIfTrue="1">
      <formula>OR(color_code=502, color_code=503)</formula>
    </cfRule>
    <cfRule type="expression" dxfId="51" priority="43" stopIfTrue="1">
      <formula>OR(color_code=601,color_code=604)</formula>
    </cfRule>
    <cfRule type="expression" dxfId="50" priority="44" stopIfTrue="1">
      <formula>OR(color_code=602, color_code=603)</formula>
    </cfRule>
    <cfRule type="expression" dxfId="49" priority="45" stopIfTrue="1">
      <formula>OR(color_code=701,color_code=704)</formula>
    </cfRule>
    <cfRule type="expression" dxfId="48" priority="46" stopIfTrue="1">
      <formula>OR(color_code=702, color_code=703)</formula>
    </cfRule>
    <cfRule type="expression" dxfId="47" priority="50" stopIfTrue="1">
      <formula>OR(color_code=801,color_code=804)</formula>
    </cfRule>
    <cfRule type="expression" dxfId="46" priority="60" stopIfTrue="1">
      <formula>OR(color_code=802, color_code=803)</formula>
    </cfRule>
    <cfRule type="expression" dxfId="45" priority="66" stopIfTrue="1">
      <formula>color_code=1</formula>
    </cfRule>
    <cfRule type="expression" dxfId="44" priority="67">
      <formula>OR(color_code=2, color_code=3)</formula>
    </cfRule>
  </conditionalFormatting>
  <conditionalFormatting sqref="K15:K35">
    <cfRule type="expression" dxfId="42" priority="56">
      <formula>AND(type="S",_xlfn.ISFORMULA(ind.start))</formula>
    </cfRule>
  </conditionalFormatting>
  <conditionalFormatting sqref="L15:L35">
    <cfRule type="expression" dxfId="41" priority="58">
      <formula>ind.start&lt;&gt;""</formula>
    </cfRule>
  </conditionalFormatting>
  <conditionalFormatting sqref="M15:M35 K15:K35 R15:R35 W15:W35">
    <cfRule type="expression" dxfId="40" priority="57">
      <formula>_xlfn.ISFORMULA(K15)</formula>
    </cfRule>
  </conditionalFormatting>
  <conditionalFormatting sqref="M15:Q35">
    <cfRule type="expression" dxfId="39" priority="55">
      <formula>OR(ind.start&lt;&gt;"",ind.end&lt;&gt;"")</formula>
    </cfRule>
  </conditionalFormatting>
  <conditionalFormatting sqref="N15:Q35">
    <cfRule type="expression" dxfId="38" priority="53">
      <formula>d.id=""</formula>
    </cfRule>
  </conditionalFormatting>
  <conditionalFormatting sqref="X9:BN9">
    <cfRule type="expression" dxfId="37" priority="52">
      <formula>AND(date&gt;=project_start,date&lt;=project_end)</formula>
    </cfRule>
  </conditionalFormatting>
  <conditionalFormatting sqref="X10:BN12">
    <cfRule type="expression" dxfId="36" priority="51">
      <formula>AND(date&gt;=project_start,date&lt;=project_end)</formula>
    </cfRule>
  </conditionalFormatting>
  <conditionalFormatting sqref="X10:BN35">
    <cfRule type="expression" dxfId="35" priority="2">
      <formula>IF(highlight="today",date=WORKDAY(TODAY()-1,1),date=highlight)</formula>
    </cfRule>
    <cfRule type="expression" dxfId="34" priority="5">
      <formula>WEEKDAY(date,2)&gt;WEEKDAY(next_date,2)</formula>
    </cfRule>
  </conditionalFormatting>
  <conditionalFormatting sqref="X15:BN35">
    <cfRule type="expression" dxfId="33" priority="6">
      <formula>AND(display="Plan vs Base", item_in_base, OR(type="S", type="T"))</formula>
    </cfRule>
    <cfRule type="expression" dxfId="32" priority="7">
      <formula>AND(display="Plan vs Base", item_in_base, NOT(item_in_plan), type="M")</formula>
    </cfRule>
    <cfRule type="expression" priority="8" stopIfTrue="1">
      <formula>NOT(item_in_plan)</formula>
    </cfRule>
    <cfRule type="expression" dxfId="31" priority="9" stopIfTrue="1">
      <formula>AND(show_progress="Yes", item_in_complete, OR(type="S", type="T"))</formula>
    </cfRule>
    <cfRule type="expression" dxfId="30" priority="10" stopIfTrue="1">
      <formula>AND(show_progress="Yes", item_in_complete, type="M")</formula>
    </cfRule>
    <cfRule type="expression" dxfId="29" priority="12" stopIfTrue="1">
      <formula>color_code=901</formula>
    </cfRule>
    <cfRule type="expression" dxfId="28" priority="13" stopIfTrue="1">
      <formula>color_code=902</formula>
    </cfRule>
    <cfRule type="expression" dxfId="27" priority="14" stopIfTrue="1">
      <formula>color_code=101</formula>
    </cfRule>
    <cfRule type="expression" dxfId="26" priority="15" stopIfTrue="1">
      <formula>color_code=102</formula>
    </cfRule>
    <cfRule type="expression" dxfId="25" priority="16" stopIfTrue="1">
      <formula>OR(color_code=103,color_code=104)</formula>
    </cfRule>
    <cfRule type="expression" dxfId="24" priority="17" stopIfTrue="1">
      <formula>color_code=201</formula>
    </cfRule>
    <cfRule type="expression" dxfId="23" priority="18" stopIfTrue="1">
      <formula>color_code=202</formula>
    </cfRule>
    <cfRule type="expression" dxfId="22" priority="19" stopIfTrue="1">
      <formula>OR(color_code=203,color_code=204)</formula>
    </cfRule>
    <cfRule type="expression" dxfId="21" priority="20" stopIfTrue="1">
      <formula>color_code=301</formula>
    </cfRule>
    <cfRule type="expression" dxfId="20" priority="21" stopIfTrue="1">
      <formula>color_code=302</formula>
    </cfRule>
    <cfRule type="expression" dxfId="19" priority="22" stopIfTrue="1">
      <formula>OR(color_code=303,color_code=304)</formula>
    </cfRule>
    <cfRule type="expression" dxfId="18" priority="23" stopIfTrue="1">
      <formula>color_code=401</formula>
    </cfRule>
    <cfRule type="expression" dxfId="17" priority="24" stopIfTrue="1">
      <formula>color_code=402</formula>
    </cfRule>
    <cfRule type="expression" dxfId="16" priority="25" stopIfTrue="1">
      <formula>OR(color_code=403,color_code=404)</formula>
    </cfRule>
    <cfRule type="expression" dxfId="15" priority="26" stopIfTrue="1">
      <formula>color_code=501</formula>
    </cfRule>
    <cfRule type="expression" dxfId="14" priority="27" stopIfTrue="1">
      <formula>color_code=502</formula>
    </cfRule>
    <cfRule type="expression" dxfId="13" priority="28" stopIfTrue="1">
      <formula>OR(color_code=503,color_code=504)</formula>
    </cfRule>
    <cfRule type="expression" dxfId="12" priority="29" stopIfTrue="1">
      <formula>color_code=601</formula>
    </cfRule>
    <cfRule type="expression" dxfId="11" priority="30" stopIfTrue="1">
      <formula>color_code=602</formula>
    </cfRule>
    <cfRule type="expression" dxfId="10" priority="31" stopIfTrue="1">
      <formula>OR(color_code=603,color_code=604)</formula>
    </cfRule>
    <cfRule type="expression" dxfId="9" priority="32" stopIfTrue="1">
      <formula>color_code=701</formula>
    </cfRule>
    <cfRule type="expression" dxfId="8" priority="47" stopIfTrue="1">
      <formula>color_code=702</formula>
    </cfRule>
    <cfRule type="expression" dxfId="7" priority="48" stopIfTrue="1">
      <formula>OR(color_code=703,color_code=704)</formula>
    </cfRule>
    <cfRule type="expression" dxfId="6" priority="49" stopIfTrue="1">
      <formula>color_code=801</formula>
    </cfRule>
    <cfRule type="expression" dxfId="5" priority="61" stopIfTrue="1">
      <formula>color_code=802</formula>
    </cfRule>
    <cfRule type="expression" dxfId="4" priority="62" stopIfTrue="1">
      <formula>OR(color_code=803,color_code=804)</formula>
    </cfRule>
    <cfRule type="expression" dxfId="3" priority="63" stopIfTrue="1">
      <formula>color_code=1</formula>
    </cfRule>
    <cfRule type="expression" dxfId="2" priority="69" stopIfTrue="1">
      <formula>color_code=2</formula>
    </cfRule>
    <cfRule type="expression" dxfId="1" priority="72" stopIfTrue="1">
      <formula>color_code=3</formula>
    </cfRule>
  </conditionalFormatting>
  <conditionalFormatting sqref="X10:BN13">
    <cfRule type="expression" dxfId="0" priority="1">
      <formula>IF(highlight="today",date=WORKDAY(TODAY()-1,1),date=highlight)</formula>
    </cfRule>
  </conditionalFormatting>
  <dataValidations count="8">
    <dataValidation type="list" allowBlank="1" showInputMessage="1" showErrorMessage="1" sqref="E15:E35" xr:uid="{E8BC04F6-BB41-432B-882A-A1801690A6A6}">
      <formula1>"S, T, M"</formula1>
    </dataValidation>
    <dataValidation type="list" allowBlank="1" showInputMessage="1" showErrorMessage="1" sqref="J15:J35" xr:uid="{73A80B70-A8C0-419D-8C54-89AD22A006B7}">
      <formula1>"⚠"</formula1>
    </dataValidation>
    <dataValidation type="list" allowBlank="1" showInputMessage="1" showErrorMessage="1" sqref="P15:P35" xr:uid="{58E65135-2C80-4047-A7A1-95D0E779243D}">
      <formula1>"FS,SS,SF,FF"</formula1>
    </dataValidation>
    <dataValidation allowBlank="1" showInputMessage="1" showErrorMessage="1" promptTitle="Dropdown Selection Information" prompt="Available Dependency Connection Types:_x000a__x000a_FS = Finish-to-Start (Forward)_x000a_SS = Start-to-Start (Forward)_x000a_SF = Start-to-Finish (Backward)_x000a_FF = FInish-to-Finish (Backward)" sqref="P13" xr:uid="{8EF15242-C4C0-4352-A568-94AD193E18C4}"/>
    <dataValidation type="list" allowBlank="1" showInputMessage="1" showErrorMessage="1" sqref="X6:AC6" xr:uid="{C9C31C6B-D305-4BA3-8669-D52C44D74848}">
      <formula1>"Default, Project Structure, Team Roles, Issues"</formula1>
    </dataValidation>
    <dataValidation type="list" allowBlank="1" showInputMessage="1" showErrorMessage="1" sqref="AG6:AL6" xr:uid="{5E35D50E-F5B9-4D34-8F76-4C972697176D}">
      <formula1>"Plan, Plan vs Base"</formula1>
    </dataValidation>
    <dataValidation type="list" allowBlank="1" showInputMessage="1" showErrorMessage="1" sqref="AP6:AU6" xr:uid="{778B828D-2B2D-48D6-80DD-621C7669C577}">
      <formula1>"Yes, No"</formula1>
    </dataValidation>
    <dataValidation type="list" allowBlank="1" showInputMessage="1" showErrorMessage="1" sqref="BI6:BN6" xr:uid="{21F01EDC-BCDB-400E-9A48-D79D71905917}">
      <formula1>$W$10:$BN$10</formula1>
    </dataValidation>
  </dataValidations>
  <hyperlinks>
    <hyperlink ref="BI2:BN2" location="Settings!X2" tooltip="Go To Settings" display="Settings" xr:uid="{6E65867D-2BEB-4D5E-A78D-431BBB4055DD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1" r:id="rId3" name="Scroll Bar 17">
              <controlPr defaultSize="0" autoPict="0">
                <anchor moveWithCells="1">
                  <from>
                    <xdr:col>63</xdr:col>
                    <xdr:colOff>175260</xdr:colOff>
                    <xdr:row>6</xdr:row>
                    <xdr:rowOff>129540</xdr:rowOff>
                  </from>
                  <to>
                    <xdr:col>65</xdr:col>
                    <xdr:colOff>152400</xdr:colOff>
                    <xdr:row>7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5" id="{B59329D4-9588-4E75-8E8B-1E3243793D90}">
            <xm:f>ISNA(MATCH(team_member,Settings!$N$9:$N$30,0))</xm:f>
            <x14:dxf>
              <font>
                <color rgb="FFFF0000"/>
              </font>
            </x14:dxf>
          </x14:cfRule>
          <xm:sqref>I15:I35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620603-585E-4274-BCFD-4A5D1351A6C7}">
          <x14:formula1>
            <xm:f>OFFSET(Settings!$N$9,,,COUNTA(Settings!$N$9:$N$30),)</xm:f>
          </x14:formula1>
          <xm:sqref>I15:I35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25</vt:i4>
      </vt:variant>
    </vt:vector>
  </HeadingPairs>
  <TitlesOfParts>
    <vt:vector size="27" baseType="lpstr">
      <vt:lpstr>Settings</vt:lpstr>
      <vt:lpstr>Gantt</vt:lpstr>
      <vt:lpstr>Gantt!base_end</vt:lpstr>
      <vt:lpstr>Gantt!base_start</vt:lpstr>
      <vt:lpstr>color_by</vt:lpstr>
      <vt:lpstr>Gantt!d.conn</vt:lpstr>
      <vt:lpstr>Gantt!d.id</vt:lpstr>
      <vt:lpstr>Gantt!d.lag</vt:lpstr>
      <vt:lpstr>Gantt!date</vt:lpstr>
      <vt:lpstr>display</vt:lpstr>
      <vt:lpstr>highlight</vt:lpstr>
      <vt:lpstr>Gantt!id</vt:lpstr>
      <vt:lpstr>ind.end</vt:lpstr>
      <vt:lpstr>Gantt!ind.start</vt:lpstr>
      <vt:lpstr>Gantt!issue</vt:lpstr>
      <vt:lpstr>Gantt!next_date</vt:lpstr>
      <vt:lpstr>Gantt!percentage_complete</vt:lpstr>
      <vt:lpstr>Gantt!plan_end</vt:lpstr>
      <vt:lpstr>Gantt!plan_start</vt:lpstr>
      <vt:lpstr>Gantt!prev_col_range</vt:lpstr>
      <vt:lpstr>Gantt!role</vt:lpstr>
      <vt:lpstr>Gantt!role_id</vt:lpstr>
      <vt:lpstr>scroll_incremental</vt:lpstr>
      <vt:lpstr>show_progress</vt:lpstr>
      <vt:lpstr>Gantt!stage_id</vt:lpstr>
      <vt:lpstr>Gantt!team_member</vt:lpstr>
      <vt:lpstr>Gantt!type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χρηστος Γαλανης</dc:creator>
  <cp:lastModifiedBy>χρηστος Γαλανης</cp:lastModifiedBy>
  <dcterms:created xsi:type="dcterms:W3CDTF">2025-02-17T10:54:13Z</dcterms:created>
  <dcterms:modified xsi:type="dcterms:W3CDTF">2025-02-19T13:58:15Z</dcterms:modified>
</cp:coreProperties>
</file>